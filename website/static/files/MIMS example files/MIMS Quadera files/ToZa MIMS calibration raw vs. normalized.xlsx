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1BECECC-AD0C-4EA6-B58A-31C18A85E3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3" i="1"/>
  <c r="AA41" i="1"/>
  <c r="AA42" i="1"/>
  <c r="AA40" i="1"/>
  <c r="L4" i="1"/>
  <c r="L7" i="1"/>
  <c r="L8" i="1"/>
  <c r="L11" i="1"/>
  <c r="L12" i="1"/>
  <c r="L15" i="1"/>
  <c r="L16" i="1"/>
  <c r="L19" i="1"/>
  <c r="L20" i="1"/>
  <c r="L23" i="1"/>
  <c r="L24" i="1"/>
  <c r="L27" i="1"/>
  <c r="L28" i="1"/>
  <c r="L31" i="1"/>
  <c r="L32" i="1"/>
  <c r="L35" i="1"/>
  <c r="L36" i="1"/>
  <c r="L39" i="1"/>
  <c r="L40" i="1"/>
  <c r="L43" i="1"/>
  <c r="L44" i="1"/>
  <c r="L47" i="1"/>
  <c r="L48" i="1"/>
  <c r="L51" i="1"/>
  <c r="L52" i="1"/>
  <c r="L55" i="1"/>
  <c r="L56" i="1"/>
  <c r="L59" i="1"/>
  <c r="L60" i="1"/>
  <c r="L63" i="1"/>
  <c r="L64" i="1"/>
  <c r="L67" i="1"/>
  <c r="L68" i="1"/>
  <c r="L71" i="1"/>
  <c r="L72" i="1"/>
  <c r="L75" i="1"/>
  <c r="L76" i="1"/>
  <c r="L79" i="1"/>
  <c r="L80" i="1"/>
  <c r="L83" i="1"/>
  <c r="L84" i="1"/>
  <c r="L87" i="1"/>
  <c r="L88" i="1"/>
  <c r="L91" i="1"/>
  <c r="L92" i="1"/>
  <c r="L95" i="1"/>
  <c r="L96" i="1"/>
  <c r="L99" i="1"/>
  <c r="L100" i="1"/>
  <c r="L103" i="1"/>
  <c r="L104" i="1"/>
  <c r="L107" i="1"/>
  <c r="L108" i="1"/>
  <c r="L111" i="1"/>
  <c r="L112" i="1"/>
  <c r="L115" i="1"/>
  <c r="L116" i="1"/>
  <c r="L119" i="1"/>
  <c r="L120" i="1"/>
  <c r="L123" i="1"/>
  <c r="L124" i="1"/>
  <c r="L127" i="1"/>
  <c r="L128" i="1"/>
  <c r="L131" i="1"/>
  <c r="L132" i="1"/>
  <c r="L135" i="1"/>
  <c r="L136" i="1"/>
  <c r="L139" i="1"/>
  <c r="L140" i="1"/>
  <c r="L143" i="1"/>
  <c r="L144" i="1"/>
  <c r="L147" i="1"/>
  <c r="L148" i="1"/>
  <c r="L151" i="1"/>
  <c r="L152" i="1"/>
  <c r="L155" i="1"/>
  <c r="L156" i="1"/>
  <c r="L159" i="1"/>
  <c r="L160" i="1"/>
  <c r="L163" i="1"/>
  <c r="L164" i="1"/>
  <c r="L3" i="1"/>
  <c r="AA7" i="1"/>
  <c r="G3" i="1"/>
  <c r="G4" i="1"/>
  <c r="G5" i="1"/>
  <c r="L5" i="1" s="1"/>
  <c r="G6" i="1"/>
  <c r="L6" i="1" s="1"/>
  <c r="G7" i="1"/>
  <c r="G8" i="1"/>
  <c r="G9" i="1"/>
  <c r="L9" i="1" s="1"/>
  <c r="G10" i="1"/>
  <c r="L10" i="1" s="1"/>
  <c r="G11" i="1"/>
  <c r="G12" i="1"/>
  <c r="G13" i="1"/>
  <c r="L13" i="1" s="1"/>
  <c r="G14" i="1"/>
  <c r="L14" i="1" s="1"/>
  <c r="G15" i="1"/>
  <c r="G16" i="1"/>
  <c r="G17" i="1"/>
  <c r="L17" i="1" s="1"/>
  <c r="G18" i="1"/>
  <c r="L18" i="1" s="1"/>
  <c r="G19" i="1"/>
  <c r="G20" i="1"/>
  <c r="G21" i="1"/>
  <c r="L21" i="1" s="1"/>
  <c r="G22" i="1"/>
  <c r="L22" i="1" s="1"/>
  <c r="G23" i="1"/>
  <c r="G24" i="1"/>
  <c r="G25" i="1"/>
  <c r="L25" i="1" s="1"/>
  <c r="G26" i="1"/>
  <c r="L26" i="1" s="1"/>
  <c r="G27" i="1"/>
  <c r="G28" i="1"/>
  <c r="G29" i="1"/>
  <c r="L29" i="1" s="1"/>
  <c r="G30" i="1"/>
  <c r="L30" i="1" s="1"/>
  <c r="G31" i="1"/>
  <c r="G32" i="1"/>
  <c r="G33" i="1"/>
  <c r="L33" i="1" s="1"/>
  <c r="G34" i="1"/>
  <c r="L34" i="1" s="1"/>
  <c r="G35" i="1"/>
  <c r="G36" i="1"/>
  <c r="G37" i="1"/>
  <c r="L37" i="1" s="1"/>
  <c r="G38" i="1"/>
  <c r="L38" i="1" s="1"/>
  <c r="G39" i="1"/>
  <c r="G40" i="1"/>
  <c r="G41" i="1"/>
  <c r="L41" i="1" s="1"/>
  <c r="G42" i="1"/>
  <c r="L42" i="1" s="1"/>
  <c r="G43" i="1"/>
  <c r="G44" i="1"/>
  <c r="G45" i="1"/>
  <c r="L45" i="1" s="1"/>
  <c r="G46" i="1"/>
  <c r="L46" i="1" s="1"/>
  <c r="G47" i="1"/>
  <c r="G48" i="1"/>
  <c r="G49" i="1"/>
  <c r="L49" i="1" s="1"/>
  <c r="G50" i="1"/>
  <c r="L50" i="1" s="1"/>
  <c r="G51" i="1"/>
  <c r="G52" i="1"/>
  <c r="G53" i="1"/>
  <c r="L53" i="1" s="1"/>
  <c r="G54" i="1"/>
  <c r="L54" i="1" s="1"/>
  <c r="G55" i="1"/>
  <c r="G56" i="1"/>
  <c r="G57" i="1"/>
  <c r="L57" i="1" s="1"/>
  <c r="G58" i="1"/>
  <c r="L58" i="1" s="1"/>
  <c r="G59" i="1"/>
  <c r="G60" i="1"/>
  <c r="G61" i="1"/>
  <c r="L61" i="1" s="1"/>
  <c r="G62" i="1"/>
  <c r="L62" i="1" s="1"/>
  <c r="G63" i="1"/>
  <c r="G64" i="1"/>
  <c r="G65" i="1"/>
  <c r="L65" i="1" s="1"/>
  <c r="G66" i="1"/>
  <c r="L66" i="1" s="1"/>
  <c r="G67" i="1"/>
  <c r="G68" i="1"/>
  <c r="G69" i="1"/>
  <c r="L69" i="1" s="1"/>
  <c r="G70" i="1"/>
  <c r="L70" i="1" s="1"/>
  <c r="G71" i="1"/>
  <c r="G72" i="1"/>
  <c r="G73" i="1"/>
  <c r="L73" i="1" s="1"/>
  <c r="G74" i="1"/>
  <c r="L74" i="1" s="1"/>
  <c r="G75" i="1"/>
  <c r="G76" i="1"/>
  <c r="G77" i="1"/>
  <c r="L77" i="1" s="1"/>
  <c r="G78" i="1"/>
  <c r="L78" i="1" s="1"/>
  <c r="G79" i="1"/>
  <c r="G80" i="1"/>
  <c r="G81" i="1"/>
  <c r="L81" i="1" s="1"/>
  <c r="G82" i="1"/>
  <c r="L82" i="1" s="1"/>
  <c r="G83" i="1"/>
  <c r="G84" i="1"/>
  <c r="G85" i="1"/>
  <c r="L85" i="1" s="1"/>
  <c r="G86" i="1"/>
  <c r="L86" i="1" s="1"/>
  <c r="G87" i="1"/>
  <c r="G88" i="1"/>
  <c r="G89" i="1"/>
  <c r="L89" i="1" s="1"/>
  <c r="G90" i="1"/>
  <c r="L90" i="1" s="1"/>
  <c r="G91" i="1"/>
  <c r="G92" i="1"/>
  <c r="G93" i="1"/>
  <c r="L93" i="1" s="1"/>
  <c r="G94" i="1"/>
  <c r="L94" i="1" s="1"/>
  <c r="G95" i="1"/>
  <c r="G96" i="1"/>
  <c r="G97" i="1"/>
  <c r="L97" i="1" s="1"/>
  <c r="G98" i="1"/>
  <c r="L98" i="1" s="1"/>
  <c r="G99" i="1"/>
  <c r="G100" i="1"/>
  <c r="G101" i="1"/>
  <c r="L101" i="1" s="1"/>
  <c r="G102" i="1"/>
  <c r="L102" i="1" s="1"/>
  <c r="G103" i="1"/>
  <c r="G104" i="1"/>
  <c r="G105" i="1"/>
  <c r="L105" i="1" s="1"/>
  <c r="G106" i="1"/>
  <c r="L106" i="1" s="1"/>
  <c r="G107" i="1"/>
  <c r="G108" i="1"/>
  <c r="G109" i="1"/>
  <c r="L109" i="1" s="1"/>
  <c r="G110" i="1"/>
  <c r="L110" i="1" s="1"/>
  <c r="G111" i="1"/>
  <c r="G112" i="1"/>
  <c r="G113" i="1"/>
  <c r="L113" i="1" s="1"/>
  <c r="G114" i="1"/>
  <c r="L114" i="1" s="1"/>
  <c r="G115" i="1"/>
  <c r="G116" i="1"/>
  <c r="G117" i="1"/>
  <c r="L117" i="1" s="1"/>
  <c r="G118" i="1"/>
  <c r="L118" i="1" s="1"/>
  <c r="G119" i="1"/>
  <c r="G120" i="1"/>
  <c r="G121" i="1"/>
  <c r="L121" i="1" s="1"/>
  <c r="G122" i="1"/>
  <c r="L122" i="1" s="1"/>
  <c r="G123" i="1"/>
  <c r="G124" i="1"/>
  <c r="G125" i="1"/>
  <c r="L125" i="1" s="1"/>
  <c r="G126" i="1"/>
  <c r="L126" i="1" s="1"/>
  <c r="G127" i="1"/>
  <c r="G128" i="1"/>
  <c r="G129" i="1"/>
  <c r="L129" i="1" s="1"/>
  <c r="G130" i="1"/>
  <c r="L130" i="1" s="1"/>
  <c r="G131" i="1"/>
  <c r="G132" i="1"/>
  <c r="G133" i="1"/>
  <c r="L133" i="1" s="1"/>
  <c r="G134" i="1"/>
  <c r="L134" i="1" s="1"/>
  <c r="G135" i="1"/>
  <c r="G136" i="1"/>
  <c r="G137" i="1"/>
  <c r="L137" i="1" s="1"/>
  <c r="G138" i="1"/>
  <c r="L138" i="1" s="1"/>
  <c r="G139" i="1"/>
  <c r="G140" i="1"/>
  <c r="G141" i="1"/>
  <c r="L141" i="1" s="1"/>
  <c r="G142" i="1"/>
  <c r="L142" i="1" s="1"/>
  <c r="G143" i="1"/>
  <c r="G144" i="1"/>
  <c r="G145" i="1"/>
  <c r="L145" i="1" s="1"/>
  <c r="G146" i="1"/>
  <c r="L146" i="1" s="1"/>
  <c r="G147" i="1"/>
  <c r="G148" i="1"/>
  <c r="G149" i="1"/>
  <c r="L149" i="1" s="1"/>
  <c r="G150" i="1"/>
  <c r="L150" i="1" s="1"/>
  <c r="G151" i="1"/>
  <c r="G152" i="1"/>
  <c r="G153" i="1"/>
  <c r="L153" i="1" s="1"/>
  <c r="G154" i="1"/>
  <c r="L154" i="1" s="1"/>
  <c r="G155" i="1"/>
  <c r="G156" i="1"/>
  <c r="G157" i="1"/>
  <c r="L157" i="1" s="1"/>
  <c r="G158" i="1"/>
  <c r="L158" i="1" s="1"/>
  <c r="G159" i="1"/>
  <c r="G160" i="1"/>
  <c r="G161" i="1"/>
  <c r="L161" i="1" s="1"/>
  <c r="G162" i="1"/>
  <c r="L162" i="1" s="1"/>
  <c r="G163" i="1"/>
  <c r="G164" i="1"/>
  <c r="G165" i="1"/>
  <c r="L165" i="1" s="1"/>
  <c r="G166" i="1"/>
  <c r="L166" i="1" s="1"/>
  <c r="G2" i="1"/>
  <c r="E4" i="1"/>
  <c r="J4" i="1" s="1"/>
  <c r="O4" i="1" s="1"/>
  <c r="E5" i="1"/>
  <c r="J5" i="1" s="1"/>
  <c r="O5" i="1" s="1"/>
  <c r="E6" i="1"/>
  <c r="J6" i="1" s="1"/>
  <c r="O6" i="1" s="1"/>
  <c r="E7" i="1"/>
  <c r="J7" i="1" s="1"/>
  <c r="O7" i="1" s="1"/>
  <c r="E8" i="1"/>
  <c r="J8" i="1" s="1"/>
  <c r="O8" i="1" s="1"/>
  <c r="E9" i="1"/>
  <c r="J9" i="1" s="1"/>
  <c r="O9" i="1" s="1"/>
  <c r="E10" i="1"/>
  <c r="J10" i="1" s="1"/>
  <c r="O10" i="1" s="1"/>
  <c r="E11" i="1"/>
  <c r="J11" i="1" s="1"/>
  <c r="O11" i="1" s="1"/>
  <c r="E12" i="1"/>
  <c r="J12" i="1" s="1"/>
  <c r="O12" i="1" s="1"/>
  <c r="E13" i="1"/>
  <c r="J13" i="1" s="1"/>
  <c r="O13" i="1" s="1"/>
  <c r="E14" i="1"/>
  <c r="J14" i="1" s="1"/>
  <c r="O14" i="1" s="1"/>
  <c r="E15" i="1"/>
  <c r="J15" i="1" s="1"/>
  <c r="O15" i="1" s="1"/>
  <c r="E16" i="1"/>
  <c r="J16" i="1" s="1"/>
  <c r="O16" i="1" s="1"/>
  <c r="E17" i="1"/>
  <c r="J17" i="1" s="1"/>
  <c r="O17" i="1" s="1"/>
  <c r="E18" i="1"/>
  <c r="J18" i="1" s="1"/>
  <c r="O18" i="1" s="1"/>
  <c r="E19" i="1"/>
  <c r="J19" i="1" s="1"/>
  <c r="O19" i="1" s="1"/>
  <c r="E20" i="1"/>
  <c r="J20" i="1" s="1"/>
  <c r="O20" i="1" s="1"/>
  <c r="E21" i="1"/>
  <c r="J21" i="1" s="1"/>
  <c r="O21" i="1" s="1"/>
  <c r="E22" i="1"/>
  <c r="J22" i="1" s="1"/>
  <c r="O22" i="1" s="1"/>
  <c r="E23" i="1"/>
  <c r="J23" i="1" s="1"/>
  <c r="O23" i="1" s="1"/>
  <c r="E24" i="1"/>
  <c r="J24" i="1" s="1"/>
  <c r="O24" i="1" s="1"/>
  <c r="E25" i="1"/>
  <c r="J25" i="1" s="1"/>
  <c r="O25" i="1" s="1"/>
  <c r="E26" i="1"/>
  <c r="J26" i="1" s="1"/>
  <c r="O26" i="1" s="1"/>
  <c r="E27" i="1"/>
  <c r="J27" i="1" s="1"/>
  <c r="O27" i="1" s="1"/>
  <c r="E28" i="1"/>
  <c r="J28" i="1" s="1"/>
  <c r="O28" i="1" s="1"/>
  <c r="E29" i="1"/>
  <c r="J29" i="1" s="1"/>
  <c r="O29" i="1" s="1"/>
  <c r="E30" i="1"/>
  <c r="J30" i="1" s="1"/>
  <c r="O30" i="1" s="1"/>
  <c r="E31" i="1"/>
  <c r="J31" i="1" s="1"/>
  <c r="O31" i="1" s="1"/>
  <c r="E32" i="1"/>
  <c r="J32" i="1" s="1"/>
  <c r="O32" i="1" s="1"/>
  <c r="E33" i="1"/>
  <c r="J33" i="1" s="1"/>
  <c r="O33" i="1" s="1"/>
  <c r="E34" i="1"/>
  <c r="J34" i="1" s="1"/>
  <c r="O34" i="1" s="1"/>
  <c r="E35" i="1"/>
  <c r="J35" i="1" s="1"/>
  <c r="O35" i="1" s="1"/>
  <c r="E36" i="1"/>
  <c r="J36" i="1" s="1"/>
  <c r="O36" i="1" s="1"/>
  <c r="E37" i="1"/>
  <c r="J37" i="1" s="1"/>
  <c r="O37" i="1" s="1"/>
  <c r="E38" i="1"/>
  <c r="J38" i="1" s="1"/>
  <c r="O38" i="1" s="1"/>
  <c r="E39" i="1"/>
  <c r="J39" i="1" s="1"/>
  <c r="O39" i="1" s="1"/>
  <c r="E40" i="1"/>
  <c r="J40" i="1" s="1"/>
  <c r="O40" i="1" s="1"/>
  <c r="E41" i="1"/>
  <c r="J41" i="1" s="1"/>
  <c r="O41" i="1" s="1"/>
  <c r="E42" i="1"/>
  <c r="J42" i="1" s="1"/>
  <c r="O42" i="1" s="1"/>
  <c r="E43" i="1"/>
  <c r="J43" i="1" s="1"/>
  <c r="O43" i="1" s="1"/>
  <c r="E44" i="1"/>
  <c r="J44" i="1" s="1"/>
  <c r="O44" i="1" s="1"/>
  <c r="E45" i="1"/>
  <c r="J45" i="1" s="1"/>
  <c r="O45" i="1" s="1"/>
  <c r="E46" i="1"/>
  <c r="J46" i="1" s="1"/>
  <c r="O46" i="1" s="1"/>
  <c r="E47" i="1"/>
  <c r="J47" i="1" s="1"/>
  <c r="O47" i="1" s="1"/>
  <c r="E48" i="1"/>
  <c r="J48" i="1" s="1"/>
  <c r="O48" i="1" s="1"/>
  <c r="E49" i="1"/>
  <c r="J49" i="1" s="1"/>
  <c r="O49" i="1" s="1"/>
  <c r="E50" i="1"/>
  <c r="J50" i="1" s="1"/>
  <c r="O50" i="1" s="1"/>
  <c r="E51" i="1"/>
  <c r="J51" i="1" s="1"/>
  <c r="O51" i="1" s="1"/>
  <c r="E52" i="1"/>
  <c r="J52" i="1" s="1"/>
  <c r="O52" i="1" s="1"/>
  <c r="E53" i="1"/>
  <c r="J53" i="1" s="1"/>
  <c r="O53" i="1" s="1"/>
  <c r="E54" i="1"/>
  <c r="J54" i="1" s="1"/>
  <c r="O54" i="1" s="1"/>
  <c r="E55" i="1"/>
  <c r="J55" i="1" s="1"/>
  <c r="O55" i="1" s="1"/>
  <c r="E56" i="1"/>
  <c r="J56" i="1" s="1"/>
  <c r="O56" i="1" s="1"/>
  <c r="E57" i="1"/>
  <c r="J57" i="1" s="1"/>
  <c r="O57" i="1" s="1"/>
  <c r="E58" i="1"/>
  <c r="J58" i="1" s="1"/>
  <c r="O58" i="1" s="1"/>
  <c r="E59" i="1"/>
  <c r="J59" i="1" s="1"/>
  <c r="O59" i="1" s="1"/>
  <c r="E60" i="1"/>
  <c r="J60" i="1" s="1"/>
  <c r="O60" i="1" s="1"/>
  <c r="E61" i="1"/>
  <c r="J61" i="1" s="1"/>
  <c r="O61" i="1" s="1"/>
  <c r="E62" i="1"/>
  <c r="J62" i="1" s="1"/>
  <c r="O62" i="1" s="1"/>
  <c r="E63" i="1"/>
  <c r="J63" i="1" s="1"/>
  <c r="O63" i="1" s="1"/>
  <c r="E64" i="1"/>
  <c r="J64" i="1" s="1"/>
  <c r="O64" i="1" s="1"/>
  <c r="E65" i="1"/>
  <c r="J65" i="1" s="1"/>
  <c r="O65" i="1" s="1"/>
  <c r="E66" i="1"/>
  <c r="J66" i="1" s="1"/>
  <c r="O66" i="1" s="1"/>
  <c r="E67" i="1"/>
  <c r="J67" i="1" s="1"/>
  <c r="O67" i="1" s="1"/>
  <c r="E68" i="1"/>
  <c r="J68" i="1" s="1"/>
  <c r="O68" i="1" s="1"/>
  <c r="E69" i="1"/>
  <c r="J69" i="1" s="1"/>
  <c r="O69" i="1" s="1"/>
  <c r="E70" i="1"/>
  <c r="J70" i="1" s="1"/>
  <c r="O70" i="1" s="1"/>
  <c r="E71" i="1"/>
  <c r="J71" i="1" s="1"/>
  <c r="O71" i="1" s="1"/>
  <c r="E72" i="1"/>
  <c r="J72" i="1" s="1"/>
  <c r="O72" i="1" s="1"/>
  <c r="E73" i="1"/>
  <c r="J73" i="1" s="1"/>
  <c r="O73" i="1" s="1"/>
  <c r="E74" i="1"/>
  <c r="J74" i="1" s="1"/>
  <c r="O74" i="1" s="1"/>
  <c r="E75" i="1"/>
  <c r="J75" i="1" s="1"/>
  <c r="O75" i="1" s="1"/>
  <c r="E76" i="1"/>
  <c r="J76" i="1" s="1"/>
  <c r="O76" i="1" s="1"/>
  <c r="E77" i="1"/>
  <c r="J77" i="1" s="1"/>
  <c r="O77" i="1" s="1"/>
  <c r="E78" i="1"/>
  <c r="J78" i="1" s="1"/>
  <c r="O78" i="1" s="1"/>
  <c r="E79" i="1"/>
  <c r="J79" i="1" s="1"/>
  <c r="O79" i="1" s="1"/>
  <c r="E80" i="1"/>
  <c r="J80" i="1" s="1"/>
  <c r="O80" i="1" s="1"/>
  <c r="E81" i="1"/>
  <c r="J81" i="1" s="1"/>
  <c r="O81" i="1" s="1"/>
  <c r="E82" i="1"/>
  <c r="J82" i="1" s="1"/>
  <c r="O82" i="1" s="1"/>
  <c r="E83" i="1"/>
  <c r="J83" i="1" s="1"/>
  <c r="O83" i="1" s="1"/>
  <c r="E84" i="1"/>
  <c r="J84" i="1" s="1"/>
  <c r="O84" i="1" s="1"/>
  <c r="E85" i="1"/>
  <c r="J85" i="1" s="1"/>
  <c r="O85" i="1" s="1"/>
  <c r="E86" i="1"/>
  <c r="J86" i="1" s="1"/>
  <c r="O86" i="1" s="1"/>
  <c r="E87" i="1"/>
  <c r="J87" i="1" s="1"/>
  <c r="O87" i="1" s="1"/>
  <c r="E88" i="1"/>
  <c r="J88" i="1" s="1"/>
  <c r="O88" i="1" s="1"/>
  <c r="E89" i="1"/>
  <c r="J89" i="1" s="1"/>
  <c r="O89" i="1" s="1"/>
  <c r="E90" i="1"/>
  <c r="J90" i="1" s="1"/>
  <c r="O90" i="1" s="1"/>
  <c r="E91" i="1"/>
  <c r="J91" i="1" s="1"/>
  <c r="O91" i="1" s="1"/>
  <c r="E92" i="1"/>
  <c r="J92" i="1" s="1"/>
  <c r="O92" i="1" s="1"/>
  <c r="E93" i="1"/>
  <c r="J93" i="1" s="1"/>
  <c r="O93" i="1" s="1"/>
  <c r="E94" i="1"/>
  <c r="J94" i="1" s="1"/>
  <c r="O94" i="1" s="1"/>
  <c r="E95" i="1"/>
  <c r="J95" i="1" s="1"/>
  <c r="O95" i="1" s="1"/>
  <c r="E96" i="1"/>
  <c r="J96" i="1" s="1"/>
  <c r="O96" i="1" s="1"/>
  <c r="E97" i="1"/>
  <c r="J97" i="1" s="1"/>
  <c r="O97" i="1" s="1"/>
  <c r="E98" i="1"/>
  <c r="J98" i="1" s="1"/>
  <c r="O98" i="1" s="1"/>
  <c r="E99" i="1"/>
  <c r="J99" i="1" s="1"/>
  <c r="O99" i="1" s="1"/>
  <c r="E100" i="1"/>
  <c r="J100" i="1" s="1"/>
  <c r="O100" i="1" s="1"/>
  <c r="E101" i="1"/>
  <c r="J101" i="1" s="1"/>
  <c r="O101" i="1" s="1"/>
  <c r="E102" i="1"/>
  <c r="J102" i="1" s="1"/>
  <c r="O102" i="1" s="1"/>
  <c r="E103" i="1"/>
  <c r="J103" i="1" s="1"/>
  <c r="O103" i="1" s="1"/>
  <c r="E104" i="1"/>
  <c r="J104" i="1" s="1"/>
  <c r="O104" i="1" s="1"/>
  <c r="E105" i="1"/>
  <c r="J105" i="1" s="1"/>
  <c r="O105" i="1" s="1"/>
  <c r="E106" i="1"/>
  <c r="J106" i="1" s="1"/>
  <c r="O106" i="1" s="1"/>
  <c r="E107" i="1"/>
  <c r="J107" i="1" s="1"/>
  <c r="O107" i="1" s="1"/>
  <c r="E108" i="1"/>
  <c r="J108" i="1" s="1"/>
  <c r="O108" i="1" s="1"/>
  <c r="E109" i="1"/>
  <c r="J109" i="1" s="1"/>
  <c r="O109" i="1" s="1"/>
  <c r="E110" i="1"/>
  <c r="J110" i="1" s="1"/>
  <c r="O110" i="1" s="1"/>
  <c r="E111" i="1"/>
  <c r="J111" i="1" s="1"/>
  <c r="O111" i="1" s="1"/>
  <c r="E112" i="1"/>
  <c r="J112" i="1" s="1"/>
  <c r="O112" i="1" s="1"/>
  <c r="E113" i="1"/>
  <c r="J113" i="1" s="1"/>
  <c r="O113" i="1" s="1"/>
  <c r="E114" i="1"/>
  <c r="J114" i="1" s="1"/>
  <c r="O114" i="1" s="1"/>
  <c r="E115" i="1"/>
  <c r="J115" i="1" s="1"/>
  <c r="O115" i="1" s="1"/>
  <c r="E116" i="1"/>
  <c r="J116" i="1" s="1"/>
  <c r="O116" i="1" s="1"/>
  <c r="E117" i="1"/>
  <c r="J117" i="1" s="1"/>
  <c r="O117" i="1" s="1"/>
  <c r="E118" i="1"/>
  <c r="J118" i="1" s="1"/>
  <c r="O118" i="1" s="1"/>
  <c r="E119" i="1"/>
  <c r="J119" i="1" s="1"/>
  <c r="O119" i="1" s="1"/>
  <c r="E120" i="1"/>
  <c r="J120" i="1" s="1"/>
  <c r="O120" i="1" s="1"/>
  <c r="E121" i="1"/>
  <c r="J121" i="1" s="1"/>
  <c r="O121" i="1" s="1"/>
  <c r="E122" i="1"/>
  <c r="J122" i="1" s="1"/>
  <c r="O122" i="1" s="1"/>
  <c r="E123" i="1"/>
  <c r="J123" i="1" s="1"/>
  <c r="O123" i="1" s="1"/>
  <c r="E124" i="1"/>
  <c r="J124" i="1" s="1"/>
  <c r="O124" i="1" s="1"/>
  <c r="E125" i="1"/>
  <c r="J125" i="1" s="1"/>
  <c r="O125" i="1" s="1"/>
  <c r="E126" i="1"/>
  <c r="J126" i="1" s="1"/>
  <c r="O126" i="1" s="1"/>
  <c r="E127" i="1"/>
  <c r="J127" i="1" s="1"/>
  <c r="O127" i="1" s="1"/>
  <c r="E128" i="1"/>
  <c r="J128" i="1" s="1"/>
  <c r="O128" i="1" s="1"/>
  <c r="E129" i="1"/>
  <c r="J129" i="1" s="1"/>
  <c r="O129" i="1" s="1"/>
  <c r="E130" i="1"/>
  <c r="J130" i="1" s="1"/>
  <c r="O130" i="1" s="1"/>
  <c r="E131" i="1"/>
  <c r="J131" i="1" s="1"/>
  <c r="O131" i="1" s="1"/>
  <c r="E132" i="1"/>
  <c r="J132" i="1" s="1"/>
  <c r="O132" i="1" s="1"/>
  <c r="E133" i="1"/>
  <c r="J133" i="1" s="1"/>
  <c r="O133" i="1" s="1"/>
  <c r="E134" i="1"/>
  <c r="J134" i="1" s="1"/>
  <c r="O134" i="1" s="1"/>
  <c r="E135" i="1"/>
  <c r="J135" i="1" s="1"/>
  <c r="O135" i="1" s="1"/>
  <c r="E136" i="1"/>
  <c r="J136" i="1" s="1"/>
  <c r="O136" i="1" s="1"/>
  <c r="E137" i="1"/>
  <c r="J137" i="1" s="1"/>
  <c r="O137" i="1" s="1"/>
  <c r="E138" i="1"/>
  <c r="J138" i="1" s="1"/>
  <c r="O138" i="1" s="1"/>
  <c r="E139" i="1"/>
  <c r="J139" i="1" s="1"/>
  <c r="O139" i="1" s="1"/>
  <c r="E140" i="1"/>
  <c r="J140" i="1" s="1"/>
  <c r="O140" i="1" s="1"/>
  <c r="E141" i="1"/>
  <c r="J141" i="1" s="1"/>
  <c r="O141" i="1" s="1"/>
  <c r="E142" i="1"/>
  <c r="J142" i="1" s="1"/>
  <c r="O142" i="1" s="1"/>
  <c r="E143" i="1"/>
  <c r="J143" i="1" s="1"/>
  <c r="O143" i="1" s="1"/>
  <c r="E144" i="1"/>
  <c r="J144" i="1" s="1"/>
  <c r="O144" i="1" s="1"/>
  <c r="E145" i="1"/>
  <c r="J145" i="1" s="1"/>
  <c r="O145" i="1" s="1"/>
  <c r="E146" i="1"/>
  <c r="J146" i="1" s="1"/>
  <c r="O146" i="1" s="1"/>
  <c r="E147" i="1"/>
  <c r="J147" i="1" s="1"/>
  <c r="O147" i="1" s="1"/>
  <c r="E148" i="1"/>
  <c r="J148" i="1" s="1"/>
  <c r="O148" i="1" s="1"/>
  <c r="E149" i="1"/>
  <c r="J149" i="1" s="1"/>
  <c r="O149" i="1" s="1"/>
  <c r="E150" i="1"/>
  <c r="J150" i="1" s="1"/>
  <c r="O150" i="1" s="1"/>
  <c r="E151" i="1"/>
  <c r="J151" i="1" s="1"/>
  <c r="O151" i="1" s="1"/>
  <c r="E152" i="1"/>
  <c r="J152" i="1" s="1"/>
  <c r="O152" i="1" s="1"/>
  <c r="E153" i="1"/>
  <c r="J153" i="1" s="1"/>
  <c r="O153" i="1" s="1"/>
  <c r="E154" i="1"/>
  <c r="J154" i="1" s="1"/>
  <c r="O154" i="1" s="1"/>
  <c r="E155" i="1"/>
  <c r="J155" i="1" s="1"/>
  <c r="O155" i="1" s="1"/>
  <c r="E156" i="1"/>
  <c r="J156" i="1" s="1"/>
  <c r="O156" i="1" s="1"/>
  <c r="E157" i="1"/>
  <c r="J157" i="1" s="1"/>
  <c r="O157" i="1" s="1"/>
  <c r="E158" i="1"/>
  <c r="J158" i="1" s="1"/>
  <c r="O158" i="1" s="1"/>
  <c r="E159" i="1"/>
  <c r="J159" i="1" s="1"/>
  <c r="O159" i="1" s="1"/>
  <c r="E160" i="1"/>
  <c r="J160" i="1" s="1"/>
  <c r="O160" i="1" s="1"/>
  <c r="E161" i="1"/>
  <c r="J161" i="1" s="1"/>
  <c r="O161" i="1" s="1"/>
  <c r="E162" i="1"/>
  <c r="J162" i="1" s="1"/>
  <c r="O162" i="1" s="1"/>
  <c r="E163" i="1"/>
  <c r="J163" i="1" s="1"/>
  <c r="O163" i="1" s="1"/>
  <c r="E164" i="1"/>
  <c r="J164" i="1" s="1"/>
  <c r="O164" i="1" s="1"/>
  <c r="E165" i="1"/>
  <c r="J165" i="1" s="1"/>
  <c r="O165" i="1" s="1"/>
  <c r="E166" i="1"/>
  <c r="J166" i="1" s="1"/>
  <c r="O166" i="1" s="1"/>
  <c r="E3" i="1"/>
  <c r="J3" i="1" s="1"/>
  <c r="O3" i="1" s="1"/>
  <c r="D2" i="1"/>
  <c r="D10" i="1"/>
  <c r="I10" i="1" s="1"/>
  <c r="N10" i="1" s="1"/>
  <c r="D9" i="1"/>
  <c r="I9" i="1" s="1"/>
  <c r="N9" i="1" s="1"/>
  <c r="D8" i="1"/>
  <c r="I8" i="1" s="1"/>
  <c r="N8" i="1" s="1"/>
  <c r="D7" i="1"/>
  <c r="I7" i="1" s="1"/>
  <c r="N7" i="1" s="1"/>
  <c r="D6" i="1"/>
  <c r="I6" i="1" s="1"/>
  <c r="N6" i="1" s="1"/>
  <c r="D5" i="1"/>
  <c r="I5" i="1" s="1"/>
  <c r="N5" i="1" s="1"/>
  <c r="D4" i="1"/>
  <c r="I4" i="1" s="1"/>
  <c r="N4" i="1" s="1"/>
  <c r="D3" i="1"/>
  <c r="I3" i="1" s="1"/>
  <c r="N3" i="1" s="1"/>
  <c r="D166" i="1"/>
  <c r="D165" i="1"/>
  <c r="D164" i="1"/>
  <c r="I164" i="1" s="1"/>
  <c r="N164" i="1" s="1"/>
  <c r="D163" i="1"/>
  <c r="I163" i="1" s="1"/>
  <c r="N163" i="1" s="1"/>
  <c r="D162" i="1"/>
  <c r="I162" i="1" s="1"/>
  <c r="N162" i="1" s="1"/>
  <c r="D161" i="1"/>
  <c r="I161" i="1" s="1"/>
  <c r="N161" i="1" s="1"/>
  <c r="D160" i="1"/>
  <c r="I160" i="1" s="1"/>
  <c r="N160" i="1" s="1"/>
  <c r="D159" i="1"/>
  <c r="I159" i="1" s="1"/>
  <c r="N159" i="1" s="1"/>
  <c r="D158" i="1"/>
  <c r="I158" i="1" s="1"/>
  <c r="N158" i="1" s="1"/>
  <c r="D157" i="1"/>
  <c r="I157" i="1" s="1"/>
  <c r="N157" i="1" s="1"/>
  <c r="D156" i="1"/>
  <c r="I156" i="1" s="1"/>
  <c r="N156" i="1" s="1"/>
  <c r="D155" i="1"/>
  <c r="I155" i="1" s="1"/>
  <c r="N155" i="1" s="1"/>
  <c r="D154" i="1"/>
  <c r="I154" i="1" s="1"/>
  <c r="N154" i="1" s="1"/>
  <c r="D153" i="1"/>
  <c r="I153" i="1" s="1"/>
  <c r="N153" i="1" s="1"/>
  <c r="D152" i="1"/>
  <c r="I152" i="1" s="1"/>
  <c r="N152" i="1" s="1"/>
  <c r="D151" i="1"/>
  <c r="I151" i="1" s="1"/>
  <c r="N151" i="1" s="1"/>
  <c r="D150" i="1"/>
  <c r="I150" i="1" s="1"/>
  <c r="N150" i="1" s="1"/>
  <c r="D149" i="1"/>
  <c r="I149" i="1" s="1"/>
  <c r="N149" i="1" s="1"/>
  <c r="D148" i="1"/>
  <c r="I148" i="1" s="1"/>
  <c r="N148" i="1" s="1"/>
  <c r="D147" i="1"/>
  <c r="I147" i="1" s="1"/>
  <c r="N147" i="1" s="1"/>
  <c r="D146" i="1"/>
  <c r="I146" i="1" s="1"/>
  <c r="N146" i="1" s="1"/>
  <c r="D145" i="1"/>
  <c r="I145" i="1" s="1"/>
  <c r="N145" i="1" s="1"/>
  <c r="D144" i="1"/>
  <c r="I144" i="1" s="1"/>
  <c r="N144" i="1" s="1"/>
  <c r="D143" i="1"/>
  <c r="I143" i="1" s="1"/>
  <c r="N143" i="1" s="1"/>
  <c r="D142" i="1"/>
  <c r="I142" i="1" s="1"/>
  <c r="N142" i="1" s="1"/>
  <c r="D141" i="1"/>
  <c r="I141" i="1" s="1"/>
  <c r="N141" i="1" s="1"/>
  <c r="D140" i="1"/>
  <c r="I140" i="1" s="1"/>
  <c r="N140" i="1" s="1"/>
  <c r="D139" i="1"/>
  <c r="I139" i="1" s="1"/>
  <c r="N139" i="1" s="1"/>
  <c r="D138" i="1"/>
  <c r="I138" i="1" s="1"/>
  <c r="N138" i="1" s="1"/>
  <c r="D137" i="1"/>
  <c r="I137" i="1" s="1"/>
  <c r="N137" i="1" s="1"/>
  <c r="D136" i="1"/>
  <c r="I136" i="1" s="1"/>
  <c r="N136" i="1" s="1"/>
  <c r="D135" i="1"/>
  <c r="I135" i="1" s="1"/>
  <c r="N135" i="1" s="1"/>
  <c r="D134" i="1"/>
  <c r="I134" i="1" s="1"/>
  <c r="N134" i="1" s="1"/>
  <c r="D133" i="1"/>
  <c r="I133" i="1" s="1"/>
  <c r="N133" i="1" s="1"/>
  <c r="D132" i="1"/>
  <c r="I132" i="1" s="1"/>
  <c r="N132" i="1" s="1"/>
  <c r="D131" i="1"/>
  <c r="I131" i="1" s="1"/>
  <c r="N131" i="1" s="1"/>
  <c r="D130" i="1"/>
  <c r="I130" i="1" s="1"/>
  <c r="N130" i="1" s="1"/>
  <c r="D129" i="1"/>
  <c r="I129" i="1" s="1"/>
  <c r="N129" i="1" s="1"/>
  <c r="D128" i="1"/>
  <c r="I128" i="1" s="1"/>
  <c r="N128" i="1" s="1"/>
  <c r="D127" i="1"/>
  <c r="I127" i="1" s="1"/>
  <c r="N127" i="1" s="1"/>
  <c r="D126" i="1"/>
  <c r="I126" i="1" s="1"/>
  <c r="N126" i="1" s="1"/>
  <c r="D125" i="1"/>
  <c r="I125" i="1" s="1"/>
  <c r="N125" i="1" s="1"/>
  <c r="D124" i="1"/>
  <c r="I124" i="1" s="1"/>
  <c r="N124" i="1" s="1"/>
  <c r="D123" i="1"/>
  <c r="I123" i="1" s="1"/>
  <c r="N123" i="1" s="1"/>
  <c r="D122" i="1"/>
  <c r="I122" i="1" s="1"/>
  <c r="N122" i="1" s="1"/>
  <c r="D121" i="1"/>
  <c r="I121" i="1" s="1"/>
  <c r="N121" i="1" s="1"/>
  <c r="D120" i="1"/>
  <c r="I120" i="1" s="1"/>
  <c r="N120" i="1" s="1"/>
  <c r="D119" i="1"/>
  <c r="I119" i="1" s="1"/>
  <c r="N119" i="1" s="1"/>
  <c r="D118" i="1"/>
  <c r="I118" i="1" s="1"/>
  <c r="N118" i="1" s="1"/>
  <c r="D117" i="1"/>
  <c r="I117" i="1" s="1"/>
  <c r="N117" i="1" s="1"/>
  <c r="D116" i="1"/>
  <c r="I116" i="1" s="1"/>
  <c r="N116" i="1" s="1"/>
  <c r="D115" i="1"/>
  <c r="I115" i="1" s="1"/>
  <c r="N115" i="1" s="1"/>
  <c r="D114" i="1"/>
  <c r="I114" i="1" s="1"/>
  <c r="N114" i="1" s="1"/>
  <c r="D113" i="1"/>
  <c r="I113" i="1" s="1"/>
  <c r="N113" i="1" s="1"/>
  <c r="D112" i="1"/>
  <c r="I112" i="1" s="1"/>
  <c r="N112" i="1" s="1"/>
  <c r="D111" i="1"/>
  <c r="I111" i="1" s="1"/>
  <c r="N111" i="1" s="1"/>
  <c r="D110" i="1"/>
  <c r="I110" i="1" s="1"/>
  <c r="N110" i="1" s="1"/>
  <c r="D109" i="1"/>
  <c r="I109" i="1" s="1"/>
  <c r="N109" i="1" s="1"/>
  <c r="D108" i="1"/>
  <c r="I108" i="1" s="1"/>
  <c r="N108" i="1" s="1"/>
  <c r="D107" i="1"/>
  <c r="I107" i="1" s="1"/>
  <c r="N107" i="1" s="1"/>
  <c r="D106" i="1"/>
  <c r="I106" i="1" s="1"/>
  <c r="N106" i="1" s="1"/>
  <c r="D105" i="1"/>
  <c r="I105" i="1" s="1"/>
  <c r="N105" i="1" s="1"/>
  <c r="D104" i="1"/>
  <c r="I104" i="1" s="1"/>
  <c r="N104" i="1" s="1"/>
  <c r="D103" i="1"/>
  <c r="I103" i="1" s="1"/>
  <c r="N103" i="1" s="1"/>
  <c r="D102" i="1"/>
  <c r="I102" i="1" s="1"/>
  <c r="N102" i="1" s="1"/>
  <c r="D101" i="1"/>
  <c r="I101" i="1" s="1"/>
  <c r="N101" i="1" s="1"/>
  <c r="D100" i="1"/>
  <c r="I100" i="1" s="1"/>
  <c r="N100" i="1" s="1"/>
  <c r="D99" i="1"/>
  <c r="I99" i="1" s="1"/>
  <c r="N99" i="1" s="1"/>
  <c r="D98" i="1"/>
  <c r="I98" i="1" s="1"/>
  <c r="N98" i="1" s="1"/>
  <c r="D97" i="1"/>
  <c r="I97" i="1" s="1"/>
  <c r="N97" i="1" s="1"/>
  <c r="D96" i="1"/>
  <c r="I96" i="1" s="1"/>
  <c r="N96" i="1" s="1"/>
  <c r="D95" i="1"/>
  <c r="I95" i="1" s="1"/>
  <c r="N95" i="1" s="1"/>
  <c r="D94" i="1"/>
  <c r="I94" i="1" s="1"/>
  <c r="N94" i="1" s="1"/>
  <c r="D93" i="1"/>
  <c r="I93" i="1" s="1"/>
  <c r="N93" i="1" s="1"/>
  <c r="D92" i="1"/>
  <c r="I92" i="1" s="1"/>
  <c r="N92" i="1" s="1"/>
  <c r="D91" i="1"/>
  <c r="I91" i="1" s="1"/>
  <c r="N91" i="1" s="1"/>
  <c r="D90" i="1"/>
  <c r="I90" i="1" s="1"/>
  <c r="N90" i="1" s="1"/>
  <c r="D89" i="1"/>
  <c r="I89" i="1" s="1"/>
  <c r="N89" i="1" s="1"/>
  <c r="D88" i="1"/>
  <c r="I88" i="1" s="1"/>
  <c r="N88" i="1" s="1"/>
  <c r="D87" i="1"/>
  <c r="I87" i="1" s="1"/>
  <c r="N87" i="1" s="1"/>
  <c r="D86" i="1"/>
  <c r="I86" i="1" s="1"/>
  <c r="N86" i="1" s="1"/>
  <c r="D85" i="1"/>
  <c r="I85" i="1" s="1"/>
  <c r="N85" i="1" s="1"/>
  <c r="D84" i="1"/>
  <c r="I84" i="1" s="1"/>
  <c r="N84" i="1" s="1"/>
  <c r="D83" i="1"/>
  <c r="I83" i="1" s="1"/>
  <c r="N83" i="1" s="1"/>
  <c r="D82" i="1"/>
  <c r="I82" i="1" s="1"/>
  <c r="N82" i="1" s="1"/>
  <c r="D81" i="1"/>
  <c r="I81" i="1" s="1"/>
  <c r="N81" i="1" s="1"/>
  <c r="D80" i="1"/>
  <c r="I80" i="1" s="1"/>
  <c r="N80" i="1" s="1"/>
  <c r="D79" i="1"/>
  <c r="I79" i="1" s="1"/>
  <c r="N79" i="1" s="1"/>
  <c r="D78" i="1"/>
  <c r="I78" i="1" s="1"/>
  <c r="N78" i="1" s="1"/>
  <c r="D77" i="1"/>
  <c r="I77" i="1" s="1"/>
  <c r="N77" i="1" s="1"/>
  <c r="D76" i="1"/>
  <c r="I76" i="1" s="1"/>
  <c r="N76" i="1" s="1"/>
  <c r="D75" i="1"/>
  <c r="I75" i="1" s="1"/>
  <c r="N75" i="1" s="1"/>
  <c r="D74" i="1"/>
  <c r="I74" i="1" s="1"/>
  <c r="N74" i="1" s="1"/>
  <c r="D73" i="1"/>
  <c r="I73" i="1" s="1"/>
  <c r="N73" i="1" s="1"/>
  <c r="D72" i="1"/>
  <c r="I72" i="1" s="1"/>
  <c r="N72" i="1" s="1"/>
  <c r="D71" i="1"/>
  <c r="I71" i="1" s="1"/>
  <c r="N71" i="1" s="1"/>
  <c r="D70" i="1"/>
  <c r="I70" i="1" s="1"/>
  <c r="N70" i="1" s="1"/>
  <c r="D69" i="1"/>
  <c r="I69" i="1" s="1"/>
  <c r="N69" i="1" s="1"/>
  <c r="D68" i="1"/>
  <c r="I68" i="1" s="1"/>
  <c r="N68" i="1" s="1"/>
  <c r="D67" i="1"/>
  <c r="I67" i="1" s="1"/>
  <c r="N67" i="1" s="1"/>
  <c r="D66" i="1"/>
  <c r="I66" i="1" s="1"/>
  <c r="N66" i="1" s="1"/>
  <c r="D65" i="1"/>
  <c r="I65" i="1" s="1"/>
  <c r="N65" i="1" s="1"/>
  <c r="D64" i="1"/>
  <c r="I64" i="1" s="1"/>
  <c r="N64" i="1" s="1"/>
  <c r="D63" i="1"/>
  <c r="I63" i="1" s="1"/>
  <c r="N63" i="1" s="1"/>
  <c r="D62" i="1"/>
  <c r="I62" i="1" s="1"/>
  <c r="N62" i="1" s="1"/>
  <c r="D61" i="1"/>
  <c r="I61" i="1" s="1"/>
  <c r="N61" i="1" s="1"/>
  <c r="D60" i="1"/>
  <c r="I60" i="1" s="1"/>
  <c r="N60" i="1" s="1"/>
  <c r="D59" i="1"/>
  <c r="I59" i="1" s="1"/>
  <c r="N59" i="1" s="1"/>
  <c r="D58" i="1"/>
  <c r="I58" i="1" s="1"/>
  <c r="N58" i="1" s="1"/>
  <c r="D57" i="1"/>
  <c r="I57" i="1" s="1"/>
  <c r="N57" i="1" s="1"/>
  <c r="D56" i="1"/>
  <c r="I56" i="1" s="1"/>
  <c r="N56" i="1" s="1"/>
  <c r="D55" i="1"/>
  <c r="I55" i="1" s="1"/>
  <c r="N55" i="1" s="1"/>
  <c r="D54" i="1"/>
  <c r="I54" i="1" s="1"/>
  <c r="N54" i="1" s="1"/>
  <c r="D53" i="1"/>
  <c r="I53" i="1" s="1"/>
  <c r="N53" i="1" s="1"/>
  <c r="D52" i="1"/>
  <c r="I52" i="1" s="1"/>
  <c r="N52" i="1" s="1"/>
  <c r="D51" i="1"/>
  <c r="I51" i="1" s="1"/>
  <c r="N51" i="1" s="1"/>
  <c r="D50" i="1"/>
  <c r="I50" i="1" s="1"/>
  <c r="N50" i="1" s="1"/>
  <c r="D49" i="1"/>
  <c r="I49" i="1" s="1"/>
  <c r="N49" i="1" s="1"/>
  <c r="D48" i="1"/>
  <c r="I48" i="1" s="1"/>
  <c r="N48" i="1" s="1"/>
  <c r="D47" i="1"/>
  <c r="I47" i="1" s="1"/>
  <c r="N47" i="1" s="1"/>
  <c r="D46" i="1"/>
  <c r="I46" i="1" s="1"/>
  <c r="N46" i="1" s="1"/>
  <c r="D45" i="1"/>
  <c r="I45" i="1" s="1"/>
  <c r="N45" i="1" s="1"/>
  <c r="D44" i="1"/>
  <c r="I44" i="1" s="1"/>
  <c r="N44" i="1" s="1"/>
  <c r="D43" i="1"/>
  <c r="I43" i="1" s="1"/>
  <c r="N43" i="1" s="1"/>
  <c r="D42" i="1"/>
  <c r="I42" i="1" s="1"/>
  <c r="N42" i="1" s="1"/>
  <c r="D41" i="1"/>
  <c r="I41" i="1" s="1"/>
  <c r="N41" i="1" s="1"/>
  <c r="D40" i="1"/>
  <c r="I40" i="1" s="1"/>
  <c r="N40" i="1" s="1"/>
  <c r="D39" i="1"/>
  <c r="I39" i="1" s="1"/>
  <c r="N39" i="1" s="1"/>
  <c r="D38" i="1"/>
  <c r="I38" i="1" s="1"/>
  <c r="N38" i="1" s="1"/>
  <c r="D37" i="1"/>
  <c r="I37" i="1" s="1"/>
  <c r="N37" i="1" s="1"/>
  <c r="D36" i="1"/>
  <c r="I36" i="1" s="1"/>
  <c r="N36" i="1" s="1"/>
  <c r="D35" i="1"/>
  <c r="I35" i="1" s="1"/>
  <c r="N35" i="1" s="1"/>
  <c r="D34" i="1"/>
  <c r="I34" i="1" s="1"/>
  <c r="N34" i="1" s="1"/>
  <c r="D33" i="1"/>
  <c r="I33" i="1" s="1"/>
  <c r="N33" i="1" s="1"/>
  <c r="D32" i="1"/>
  <c r="I32" i="1" s="1"/>
  <c r="N32" i="1" s="1"/>
  <c r="D31" i="1"/>
  <c r="I31" i="1" s="1"/>
  <c r="N31" i="1" s="1"/>
  <c r="D30" i="1"/>
  <c r="I30" i="1" s="1"/>
  <c r="N30" i="1" s="1"/>
  <c r="D29" i="1"/>
  <c r="I29" i="1" s="1"/>
  <c r="N29" i="1" s="1"/>
  <c r="D28" i="1"/>
  <c r="I28" i="1" s="1"/>
  <c r="N28" i="1" s="1"/>
  <c r="D27" i="1"/>
  <c r="I27" i="1" s="1"/>
  <c r="N27" i="1" s="1"/>
  <c r="D26" i="1"/>
  <c r="I26" i="1" s="1"/>
  <c r="N26" i="1" s="1"/>
  <c r="D25" i="1"/>
  <c r="I25" i="1" s="1"/>
  <c r="N25" i="1" s="1"/>
  <c r="D24" i="1"/>
  <c r="I24" i="1" s="1"/>
  <c r="N24" i="1" s="1"/>
  <c r="D23" i="1"/>
  <c r="I23" i="1" s="1"/>
  <c r="N23" i="1" s="1"/>
  <c r="D22" i="1"/>
  <c r="I22" i="1" s="1"/>
  <c r="N22" i="1" s="1"/>
  <c r="D21" i="1"/>
  <c r="I21" i="1" s="1"/>
  <c r="N21" i="1" s="1"/>
  <c r="D20" i="1"/>
  <c r="I20" i="1" s="1"/>
  <c r="N20" i="1" s="1"/>
  <c r="D19" i="1"/>
  <c r="I19" i="1" s="1"/>
  <c r="N19" i="1" s="1"/>
  <c r="D18" i="1"/>
  <c r="I18" i="1" s="1"/>
  <c r="N18" i="1" s="1"/>
  <c r="D17" i="1"/>
  <c r="I17" i="1" s="1"/>
  <c r="N17" i="1" s="1"/>
  <c r="D16" i="1"/>
  <c r="I16" i="1" s="1"/>
  <c r="N16" i="1" s="1"/>
  <c r="D15" i="1"/>
  <c r="I15" i="1" s="1"/>
  <c r="N15" i="1" s="1"/>
  <c r="D14" i="1"/>
  <c r="I14" i="1" s="1"/>
  <c r="N14" i="1" s="1"/>
  <c r="D13" i="1"/>
  <c r="I13" i="1" s="1"/>
  <c r="N13" i="1" s="1"/>
  <c r="D12" i="1"/>
  <c r="I12" i="1" s="1"/>
  <c r="N12" i="1" s="1"/>
  <c r="D11" i="1"/>
  <c r="I11" i="1" s="1"/>
  <c r="N11" i="1" s="1"/>
  <c r="H6" i="1"/>
  <c r="H5" i="1"/>
  <c r="H4" i="1"/>
  <c r="H3" i="1"/>
  <c r="AA30" i="1"/>
  <c r="AA31" i="1"/>
  <c r="AA29" i="1"/>
  <c r="AA19" i="1"/>
  <c r="AA20" i="1"/>
  <c r="AA18" i="1"/>
  <c r="AA8" i="1"/>
  <c r="AA9" i="1"/>
  <c r="I166" i="1"/>
  <c r="N166" i="1" s="1"/>
  <c r="I165" i="1"/>
  <c r="N165" i="1" s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F166" i="1" l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<sst xmlns="http://schemas.openxmlformats.org/spreadsheetml/2006/main" count="43" uniqueCount="20">
  <si>
    <t>ms</t>
  </si>
  <si>
    <t>Oxygen</t>
  </si>
  <si>
    <t>Argon</t>
  </si>
  <si>
    <t>O2/Ar</t>
  </si>
  <si>
    <t>Ar/Ar initial</t>
  </si>
  <si>
    <t>Ar/Ar 26s</t>
  </si>
  <si>
    <t>Time (min)</t>
  </si>
  <si>
    <t>Oxygen raw</t>
  </si>
  <si>
    <t>O2/Ar/Ar 26s</t>
  </si>
  <si>
    <t>O2/Ar/Ar initial</t>
  </si>
  <si>
    <t>dO2 (umol/L)</t>
  </si>
  <si>
    <t>O2 signal points in time</t>
  </si>
  <si>
    <t>dO2 equilibrium (umol/L)</t>
  </si>
  <si>
    <t>dO2 calculated (umol/L)</t>
  </si>
  <si>
    <t>O2/Ar (umol/L)</t>
  </si>
  <si>
    <t>O2/Ar/Ar initial (umol/L)</t>
  </si>
  <si>
    <t>O2 raw (umol/L)</t>
  </si>
  <si>
    <t>.</t>
  </si>
  <si>
    <t>n.d.-estimate only</t>
  </si>
  <si>
    <t>O2/Ar/Ar at 26s (umol/L)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</si>
</sst>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E+00"/>
    <numFmt numFmtId="167" formatCode="0.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2" borderId="0" xfId="1"/>
    <xf numFmtId="1" fontId="0" fillId="0" borderId="1" xfId="0" applyNumberFormat="1" applyBorder="1" applyAlignment="1">
      <alignment horizontal="center"/>
    </xf>
  </cellXfs>
  <cellStyles count="2">
    <cellStyle name="Normální" xfId="0" builtinId="0"/>
    <cellStyle name="Správně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</a:t>
            </a:r>
            <a:r>
              <a:rPr lang="en-US"/>
              <a:t> raw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Sheet1!$G$2:$G$166</c:f>
              <c:numCache>
                <c:formatCode>0.00E+00</c:formatCode>
                <c:ptCount val="165"/>
                <c:pt idx="0">
                  <c:v>6.9999899999999999E-8</c:v>
                </c:pt>
                <c:pt idx="1">
                  <c:v>7.0312300000000004E-8</c:v>
                </c:pt>
                <c:pt idx="2">
                  <c:v>6.6249899999999996E-8</c:v>
                </c:pt>
                <c:pt idx="3">
                  <c:v>6.6147399999999998E-8</c:v>
                </c:pt>
                <c:pt idx="4">
                  <c:v>6.6167699999999998E-8</c:v>
                </c:pt>
                <c:pt idx="5">
                  <c:v>6.5985700000000003E-8</c:v>
                </c:pt>
                <c:pt idx="6">
                  <c:v>6.5944300000000001E-8</c:v>
                </c:pt>
                <c:pt idx="7">
                  <c:v>6.6014800000000002E-8</c:v>
                </c:pt>
                <c:pt idx="8">
                  <c:v>6.6053700000000001E-8</c:v>
                </c:pt>
                <c:pt idx="9">
                  <c:v>6.6088800000000006E-8</c:v>
                </c:pt>
                <c:pt idx="10">
                  <c:v>6.6149099999999998E-8</c:v>
                </c:pt>
                <c:pt idx="11">
                  <c:v>6.6076399999999997E-8</c:v>
                </c:pt>
                <c:pt idx="12">
                  <c:v>6.6088800000000006E-8</c:v>
                </c:pt>
                <c:pt idx="13">
                  <c:v>6.6142699999999996E-8</c:v>
                </c:pt>
                <c:pt idx="14">
                  <c:v>6.6076399999999997E-8</c:v>
                </c:pt>
                <c:pt idx="15">
                  <c:v>6.6128799999999999E-8</c:v>
                </c:pt>
                <c:pt idx="16">
                  <c:v>6.6088099999999995E-8</c:v>
                </c:pt>
                <c:pt idx="17">
                  <c:v>6.6080999999999995E-8</c:v>
                </c:pt>
                <c:pt idx="18">
                  <c:v>6.6080999999999995E-8</c:v>
                </c:pt>
                <c:pt idx="19">
                  <c:v>6.5958399999999996E-8</c:v>
                </c:pt>
                <c:pt idx="20">
                  <c:v>6.5938299999999994E-8</c:v>
                </c:pt>
                <c:pt idx="21">
                  <c:v>6.5955199999999995E-8</c:v>
                </c:pt>
                <c:pt idx="22">
                  <c:v>6.5944300000000001E-8</c:v>
                </c:pt>
                <c:pt idx="23">
                  <c:v>6.5848400000000004E-8</c:v>
                </c:pt>
                <c:pt idx="24">
                  <c:v>6.5802999999999997E-8</c:v>
                </c:pt>
                <c:pt idx="25">
                  <c:v>6.5795100000000007E-8</c:v>
                </c:pt>
                <c:pt idx="26">
                  <c:v>6.5781899999999994E-8</c:v>
                </c:pt>
                <c:pt idx="27">
                  <c:v>6.5700600000000005E-8</c:v>
                </c:pt>
                <c:pt idx="28">
                  <c:v>6.5681000000000004E-8</c:v>
                </c:pt>
                <c:pt idx="29">
                  <c:v>6.5700600000000005E-8</c:v>
                </c:pt>
                <c:pt idx="30">
                  <c:v>6.5627100000000001E-8</c:v>
                </c:pt>
                <c:pt idx="31">
                  <c:v>6.5584199999999998E-8</c:v>
                </c:pt>
                <c:pt idx="32">
                  <c:v>6.5659200000000003E-8</c:v>
                </c:pt>
                <c:pt idx="33">
                  <c:v>6.5499900000000005E-8</c:v>
                </c:pt>
                <c:pt idx="34">
                  <c:v>6.5445099999999994E-8</c:v>
                </c:pt>
                <c:pt idx="35">
                  <c:v>6.5557600000000002E-8</c:v>
                </c:pt>
                <c:pt idx="36">
                  <c:v>6.5380299999999997E-8</c:v>
                </c:pt>
                <c:pt idx="37">
                  <c:v>6.5332000000000006E-8</c:v>
                </c:pt>
                <c:pt idx="38">
                  <c:v>6.5180200000000003E-8</c:v>
                </c:pt>
                <c:pt idx="39">
                  <c:v>6.5060800000000005E-8</c:v>
                </c:pt>
                <c:pt idx="40">
                  <c:v>6.4952999999999999E-8</c:v>
                </c:pt>
                <c:pt idx="41">
                  <c:v>6.4869400000000005E-8</c:v>
                </c:pt>
                <c:pt idx="42">
                  <c:v>6.4640500000000002E-8</c:v>
                </c:pt>
                <c:pt idx="43">
                  <c:v>6.4506900000000004E-8</c:v>
                </c:pt>
                <c:pt idx="44">
                  <c:v>6.4349899999999998E-8</c:v>
                </c:pt>
                <c:pt idx="45">
                  <c:v>6.4221700000000001E-8</c:v>
                </c:pt>
                <c:pt idx="46">
                  <c:v>6.3985699999999998E-8</c:v>
                </c:pt>
                <c:pt idx="47">
                  <c:v>6.38866E-8</c:v>
                </c:pt>
                <c:pt idx="48">
                  <c:v>6.3724900000000004E-8</c:v>
                </c:pt>
                <c:pt idx="49">
                  <c:v>6.3554699999999999E-8</c:v>
                </c:pt>
                <c:pt idx="50">
                  <c:v>6.3434199999999995E-8</c:v>
                </c:pt>
                <c:pt idx="51">
                  <c:v>6.3308399999999995E-8</c:v>
                </c:pt>
                <c:pt idx="52">
                  <c:v>6.3253799999999994E-8</c:v>
                </c:pt>
                <c:pt idx="53">
                  <c:v>6.29974E-8</c:v>
                </c:pt>
                <c:pt idx="54">
                  <c:v>6.2949899999999999E-8</c:v>
                </c:pt>
                <c:pt idx="55">
                  <c:v>6.2745900000000006E-8</c:v>
                </c:pt>
                <c:pt idx="56">
                  <c:v>6.2717099999999997E-8</c:v>
                </c:pt>
                <c:pt idx="57">
                  <c:v>6.2509200000000005E-8</c:v>
                </c:pt>
                <c:pt idx="58">
                  <c:v>6.2450599999999999E-8</c:v>
                </c:pt>
                <c:pt idx="59">
                  <c:v>6.2333499999999994E-8</c:v>
                </c:pt>
                <c:pt idx="60">
                  <c:v>6.2184199999999994E-8</c:v>
                </c:pt>
                <c:pt idx="61">
                  <c:v>6.2168599999999997E-8</c:v>
                </c:pt>
                <c:pt idx="62">
                  <c:v>6.2099099999999998E-8</c:v>
                </c:pt>
                <c:pt idx="63">
                  <c:v>6.2008499999999996E-8</c:v>
                </c:pt>
                <c:pt idx="64">
                  <c:v>6.1940499999999998E-8</c:v>
                </c:pt>
                <c:pt idx="65">
                  <c:v>6.1880299999999999E-8</c:v>
                </c:pt>
                <c:pt idx="66">
                  <c:v>6.1786499999999995E-8</c:v>
                </c:pt>
                <c:pt idx="67">
                  <c:v>6.1712300000000007E-8</c:v>
                </c:pt>
                <c:pt idx="68">
                  <c:v>6.1620200000000003E-8</c:v>
                </c:pt>
                <c:pt idx="69">
                  <c:v>6.1523399999999996E-8</c:v>
                </c:pt>
                <c:pt idx="70">
                  <c:v>6.1426499999999998E-8</c:v>
                </c:pt>
                <c:pt idx="71">
                  <c:v>6.1277199999999998E-8</c:v>
                </c:pt>
                <c:pt idx="72">
                  <c:v>6.1292799999999994E-8</c:v>
                </c:pt>
                <c:pt idx="73">
                  <c:v>6.1145900000000005E-8</c:v>
                </c:pt>
                <c:pt idx="74">
                  <c:v>6.0920099999999998E-8</c:v>
                </c:pt>
                <c:pt idx="75">
                  <c:v>6.0804700000000004E-8</c:v>
                </c:pt>
                <c:pt idx="76">
                  <c:v>6.0738999999999999E-8</c:v>
                </c:pt>
                <c:pt idx="77">
                  <c:v>6.0572400000000003E-8</c:v>
                </c:pt>
                <c:pt idx="78">
                  <c:v>6.0336500000000006E-8</c:v>
                </c:pt>
                <c:pt idx="79">
                  <c:v>6.0168600000000006E-8</c:v>
                </c:pt>
                <c:pt idx="80">
                  <c:v>5.9931999999999997E-8</c:v>
                </c:pt>
                <c:pt idx="81">
                  <c:v>5.9849100000000001E-8</c:v>
                </c:pt>
                <c:pt idx="82">
                  <c:v>5.9604699999999994E-8</c:v>
                </c:pt>
                <c:pt idx="83">
                  <c:v>5.9456900000000002E-8</c:v>
                </c:pt>
                <c:pt idx="84">
                  <c:v>5.9206000000000001E-8</c:v>
                </c:pt>
                <c:pt idx="85">
                  <c:v>5.9070099999999998E-8</c:v>
                </c:pt>
                <c:pt idx="86">
                  <c:v>5.8877200000000003E-8</c:v>
                </c:pt>
                <c:pt idx="87">
                  <c:v>5.8763799999999998E-8</c:v>
                </c:pt>
                <c:pt idx="88">
                  <c:v>5.8543600000000003E-8</c:v>
                </c:pt>
                <c:pt idx="89">
                  <c:v>5.8423400000000002E-8</c:v>
                </c:pt>
                <c:pt idx="90">
                  <c:v>5.8242900000000002E-8</c:v>
                </c:pt>
                <c:pt idx="91">
                  <c:v>5.8132000000000001E-8</c:v>
                </c:pt>
                <c:pt idx="92">
                  <c:v>5.7897400000000001E-8</c:v>
                </c:pt>
                <c:pt idx="93">
                  <c:v>5.7862300000000002E-8</c:v>
                </c:pt>
                <c:pt idx="94">
                  <c:v>5.7692099999999997E-8</c:v>
                </c:pt>
                <c:pt idx="95">
                  <c:v>5.7582699999999997E-8</c:v>
                </c:pt>
                <c:pt idx="96">
                  <c:v>5.7517099999999997E-8</c:v>
                </c:pt>
                <c:pt idx="97">
                  <c:v>5.7313099999999997E-8</c:v>
                </c:pt>
                <c:pt idx="98">
                  <c:v>5.7281199999999999E-8</c:v>
                </c:pt>
                <c:pt idx="99">
                  <c:v>5.7241399999999998E-8</c:v>
                </c:pt>
                <c:pt idx="100">
                  <c:v>5.7088799999999998E-8</c:v>
                </c:pt>
                <c:pt idx="101">
                  <c:v>5.7003700000000002E-8</c:v>
                </c:pt>
                <c:pt idx="102">
                  <c:v>5.6888800000000003E-8</c:v>
                </c:pt>
                <c:pt idx="103">
                  <c:v>5.6829499999999999E-8</c:v>
                </c:pt>
                <c:pt idx="104">
                  <c:v>5.6668600000000001E-8</c:v>
                </c:pt>
                <c:pt idx="105">
                  <c:v>5.6628000000000003E-8</c:v>
                </c:pt>
                <c:pt idx="106">
                  <c:v>5.6538799999999997E-8</c:v>
                </c:pt>
                <c:pt idx="107">
                  <c:v>5.6456900000000002E-8</c:v>
                </c:pt>
                <c:pt idx="108">
                  <c:v>5.6317699999999999E-8</c:v>
                </c:pt>
                <c:pt idx="109">
                  <c:v>5.6224899999999997E-8</c:v>
                </c:pt>
                <c:pt idx="110">
                  <c:v>5.6074899999999999E-8</c:v>
                </c:pt>
                <c:pt idx="111">
                  <c:v>5.6020899999999997E-8</c:v>
                </c:pt>
                <c:pt idx="112">
                  <c:v>5.5819300000000001E-8</c:v>
                </c:pt>
                <c:pt idx="113">
                  <c:v>5.5741299999999999E-8</c:v>
                </c:pt>
                <c:pt idx="114">
                  <c:v>5.5490500000000003E-8</c:v>
                </c:pt>
                <c:pt idx="115">
                  <c:v>5.5334200000000002E-8</c:v>
                </c:pt>
                <c:pt idx="116">
                  <c:v>5.5166300000000002E-8</c:v>
                </c:pt>
                <c:pt idx="117">
                  <c:v>5.4966999999999998E-8</c:v>
                </c:pt>
                <c:pt idx="118">
                  <c:v>5.4727200000000002E-8</c:v>
                </c:pt>
                <c:pt idx="119">
                  <c:v>5.4530300000000002E-8</c:v>
                </c:pt>
                <c:pt idx="120">
                  <c:v>5.4337300000000002E-8</c:v>
                </c:pt>
                <c:pt idx="121">
                  <c:v>5.41914E-8</c:v>
                </c:pt>
                <c:pt idx="122">
                  <c:v>5.3987300000000002E-8</c:v>
                </c:pt>
                <c:pt idx="123">
                  <c:v>5.3867899999999998E-8</c:v>
                </c:pt>
                <c:pt idx="124">
                  <c:v>5.3555300000000002E-8</c:v>
                </c:pt>
                <c:pt idx="125">
                  <c:v>5.3502999999999999E-8</c:v>
                </c:pt>
                <c:pt idx="126">
                  <c:v>5.3333499999999999E-8</c:v>
                </c:pt>
                <c:pt idx="127">
                  <c:v>5.3131199999999999E-8</c:v>
                </c:pt>
                <c:pt idx="128">
                  <c:v>5.30015E-8</c:v>
                </c:pt>
                <c:pt idx="129">
                  <c:v>5.2826400000000001E-8</c:v>
                </c:pt>
                <c:pt idx="130">
                  <c:v>5.2713999999999998E-8</c:v>
                </c:pt>
                <c:pt idx="131">
                  <c:v>5.2598300000000002E-8</c:v>
                </c:pt>
                <c:pt idx="132">
                  <c:v>5.24585E-8</c:v>
                </c:pt>
                <c:pt idx="133">
                  <c:v>5.2285000000000001E-8</c:v>
                </c:pt>
                <c:pt idx="134">
                  <c:v>5.2167E-8</c:v>
                </c:pt>
                <c:pt idx="135">
                  <c:v>5.2019399999999999E-8</c:v>
                </c:pt>
                <c:pt idx="136">
                  <c:v>5.18914E-8</c:v>
                </c:pt>
                <c:pt idx="137">
                  <c:v>5.1799900000000002E-8</c:v>
                </c:pt>
                <c:pt idx="138">
                  <c:v>5.1734200000000003E-8</c:v>
                </c:pt>
                <c:pt idx="139">
                  <c:v>5.1581200000000001E-8</c:v>
                </c:pt>
                <c:pt idx="140">
                  <c:v>5.1445899999999997E-8</c:v>
                </c:pt>
                <c:pt idx="141">
                  <c:v>5.1340500000000002E-8</c:v>
                </c:pt>
                <c:pt idx="142">
                  <c:v>5.1276500000000003E-8</c:v>
                </c:pt>
                <c:pt idx="143">
                  <c:v>5.1159199999999999E-8</c:v>
                </c:pt>
                <c:pt idx="144">
                  <c:v>5.1088099999999999E-8</c:v>
                </c:pt>
                <c:pt idx="145">
                  <c:v>5.1009200000000001E-8</c:v>
                </c:pt>
                <c:pt idx="146">
                  <c:v>5.09967E-8</c:v>
                </c:pt>
                <c:pt idx="147">
                  <c:v>5.0811599999999997E-8</c:v>
                </c:pt>
                <c:pt idx="148">
                  <c:v>5.08256E-8</c:v>
                </c:pt>
                <c:pt idx="149">
                  <c:v>5.0731900000000002E-8</c:v>
                </c:pt>
                <c:pt idx="150">
                  <c:v>5.0576399999999998E-8</c:v>
                </c:pt>
                <c:pt idx="151">
                  <c:v>5.0556199999999997E-8</c:v>
                </c:pt>
                <c:pt idx="152">
                  <c:v>5.0402200000000001E-8</c:v>
                </c:pt>
                <c:pt idx="153">
                  <c:v>5.0224099999999999E-8</c:v>
                </c:pt>
                <c:pt idx="154">
                  <c:v>5.0323300000000003E-8</c:v>
                </c:pt>
                <c:pt idx="155">
                  <c:v>5.0112300000000002E-8</c:v>
                </c:pt>
                <c:pt idx="156">
                  <c:v>5.0174899999999999E-8</c:v>
                </c:pt>
                <c:pt idx="157">
                  <c:v>5.0081200000000001E-8</c:v>
                </c:pt>
                <c:pt idx="158">
                  <c:v>5.0019400000000001E-8</c:v>
                </c:pt>
                <c:pt idx="159">
                  <c:v>4.9931200000000003E-8</c:v>
                </c:pt>
                <c:pt idx="160">
                  <c:v>4.9931200000000003E-8</c:v>
                </c:pt>
                <c:pt idx="161">
                  <c:v>4.98155E-8</c:v>
                </c:pt>
                <c:pt idx="162">
                  <c:v>4.96936E-8</c:v>
                </c:pt>
                <c:pt idx="163">
                  <c:v>4.9665500000000002E-8</c:v>
                </c:pt>
                <c:pt idx="164">
                  <c:v>4.96936E-8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0-43D8-A2D6-52F68A88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O2/Ar</a:t>
            </a:r>
            <a:r>
              <a:rPr lang="en-US"/>
              <a:t> normalized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3392446750266266"/>
          <c:y val="0.25891797556719021"/>
          <c:w val="0.70432117496837743"/>
          <c:h val="0.57913949238020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Sheet1!$H$2:$H$166</c:f>
              <c:numCache>
                <c:formatCode>0.00E+00</c:formatCode>
                <c:ptCount val="165"/>
                <c:pt idx="1">
                  <c:v>20.930204175187608</c:v>
                </c:pt>
                <c:pt idx="2">
                  <c:v>27.390252776238867</c:v>
                </c:pt>
                <c:pt idx="3">
                  <c:v>22.177987440361836</c:v>
                </c:pt>
                <c:pt idx="4">
                  <c:v>22.20184009556149</c:v>
                </c:pt>
                <c:pt idx="5">
                  <c:v>22.007410767291237</c:v>
                </c:pt>
                <c:pt idx="6">
                  <c:v>22.383743822299465</c:v>
                </c:pt>
                <c:pt idx="7">
                  <c:v>22.165262062250278</c:v>
                </c:pt>
                <c:pt idx="8">
                  <c:v>22.185176228764888</c:v>
                </c:pt>
                <c:pt idx="9">
                  <c:v>22.38750152436959</c:v>
                </c:pt>
                <c:pt idx="10">
                  <c:v>22.369131193442357</c:v>
                </c:pt>
                <c:pt idx="11">
                  <c:v>22.447097990589914</c:v>
                </c:pt>
                <c:pt idx="12">
                  <c:v>22.196965116982046</c:v>
                </c:pt>
                <c:pt idx="13">
                  <c:v>22.355098302312136</c:v>
                </c:pt>
                <c:pt idx="14">
                  <c:v>22.384969273194166</c:v>
                </c:pt>
                <c:pt idx="15">
                  <c:v>22.324067759990815</c:v>
                </c:pt>
                <c:pt idx="16">
                  <c:v>22.371804419650108</c:v>
                </c:pt>
                <c:pt idx="17">
                  <c:v>22.334471220468448</c:v>
                </c:pt>
                <c:pt idx="18">
                  <c:v>22.23512073003311</c:v>
                </c:pt>
                <c:pt idx="19">
                  <c:v>22.198872528397139</c:v>
                </c:pt>
                <c:pt idx="20">
                  <c:v>22.23468754636561</c:v>
                </c:pt>
                <c:pt idx="21">
                  <c:v>22.234463229221092</c:v>
                </c:pt>
                <c:pt idx="22">
                  <c:v>22.166672829276653</c:v>
                </c:pt>
                <c:pt idx="23">
                  <c:v>22.331105255482871</c:v>
                </c:pt>
                <c:pt idx="24">
                  <c:v>22.418116282714308</c:v>
                </c:pt>
                <c:pt idx="25">
                  <c:v>22.12328767123288</c:v>
                </c:pt>
                <c:pt idx="26">
                  <c:v>22.165729362172431</c:v>
                </c:pt>
                <c:pt idx="27">
                  <c:v>22.330964301373495</c:v>
                </c:pt>
                <c:pt idx="28">
                  <c:v>22.326123682394652</c:v>
                </c:pt>
                <c:pt idx="29">
                  <c:v>22.306020873084318</c:v>
                </c:pt>
                <c:pt idx="30">
                  <c:v>22.212440599488243</c:v>
                </c:pt>
                <c:pt idx="31">
                  <c:v>22.328968602537127</c:v>
                </c:pt>
                <c:pt idx="32">
                  <c:v>21.881513128734582</c:v>
                </c:pt>
                <c:pt idx="33">
                  <c:v>22.262521412839547</c:v>
                </c:pt>
                <c:pt idx="34">
                  <c:v>22.195463579078741</c:v>
                </c:pt>
                <c:pt idx="35">
                  <c:v>22.320900223012888</c:v>
                </c:pt>
                <c:pt idx="36">
                  <c:v>22.203985016284431</c:v>
                </c:pt>
                <c:pt idx="37">
                  <c:v>22.297534820700275</c:v>
                </c:pt>
                <c:pt idx="38">
                  <c:v>22.268602664844551</c:v>
                </c:pt>
                <c:pt idx="39">
                  <c:v>22.118013414787544</c:v>
                </c:pt>
                <c:pt idx="40">
                  <c:v>22.323303490110494</c:v>
                </c:pt>
                <c:pt idx="41">
                  <c:v>22.248845018057846</c:v>
                </c:pt>
                <c:pt idx="42">
                  <c:v>22.142541508380461</c:v>
                </c:pt>
                <c:pt idx="43">
                  <c:v>21.950977990118012</c:v>
                </c:pt>
                <c:pt idx="44">
                  <c:v>22.088167451567283</c:v>
                </c:pt>
                <c:pt idx="45">
                  <c:v>21.991624090840602</c:v>
                </c:pt>
                <c:pt idx="46">
                  <c:v>22.038803852141687</c:v>
                </c:pt>
                <c:pt idx="47">
                  <c:v>21.813457526538443</c:v>
                </c:pt>
                <c:pt idx="48">
                  <c:v>21.883175082845419</c:v>
                </c:pt>
                <c:pt idx="49">
                  <c:v>21.592787760801542</c:v>
                </c:pt>
                <c:pt idx="50">
                  <c:v>21.705234847888644</c:v>
                </c:pt>
                <c:pt idx="51">
                  <c:v>21.792083604407402</c:v>
                </c:pt>
                <c:pt idx="52">
                  <c:v>21.707980850078076</c:v>
                </c:pt>
                <c:pt idx="53">
                  <c:v>21.410136588714693</c:v>
                </c:pt>
                <c:pt idx="54">
                  <c:v>21.556486989038536</c:v>
                </c:pt>
                <c:pt idx="55">
                  <c:v>21.568390875716705</c:v>
                </c:pt>
                <c:pt idx="56">
                  <c:v>21.428849649441702</c:v>
                </c:pt>
                <c:pt idx="57">
                  <c:v>21.476396619253766</c:v>
                </c:pt>
                <c:pt idx="58">
                  <c:v>21.520812441632465</c:v>
                </c:pt>
                <c:pt idx="59">
                  <c:v>21.361720356408497</c:v>
                </c:pt>
                <c:pt idx="60">
                  <c:v>21.309386736847873</c:v>
                </c:pt>
                <c:pt idx="61">
                  <c:v>21.274442033796223</c:v>
                </c:pt>
                <c:pt idx="62">
                  <c:v>21.413778121077531</c:v>
                </c:pt>
                <c:pt idx="63">
                  <c:v>21.443688638823662</c:v>
                </c:pt>
                <c:pt idx="64">
                  <c:v>21.316160781884506</c:v>
                </c:pt>
                <c:pt idx="65">
                  <c:v>21.334282591682154</c:v>
                </c:pt>
                <c:pt idx="66">
                  <c:v>21.249999999999996</c:v>
                </c:pt>
                <c:pt idx="67">
                  <c:v>21.328423359127406</c:v>
                </c:pt>
                <c:pt idx="68">
                  <c:v>21.256700910012903</c:v>
                </c:pt>
                <c:pt idx="69">
                  <c:v>21.279611509447665</c:v>
                </c:pt>
                <c:pt idx="70">
                  <c:v>21.183158722385834</c:v>
                </c:pt>
                <c:pt idx="71">
                  <c:v>21.167513567103185</c:v>
                </c:pt>
                <c:pt idx="72">
                  <c:v>21.22099082162233</c:v>
                </c:pt>
                <c:pt idx="73">
                  <c:v>20.930055041349473</c:v>
                </c:pt>
                <c:pt idx="74">
                  <c:v>20.944890823388651</c:v>
                </c:pt>
                <c:pt idx="75">
                  <c:v>20.95615401582619</c:v>
                </c:pt>
                <c:pt idx="76">
                  <c:v>20.858387964161718</c:v>
                </c:pt>
                <c:pt idx="77">
                  <c:v>20.964023050166993</c:v>
                </c:pt>
                <c:pt idx="78">
                  <c:v>20.856680643366023</c:v>
                </c:pt>
                <c:pt idx="79">
                  <c:v>20.98924176038847</c:v>
                </c:pt>
                <c:pt idx="80">
                  <c:v>20.763365125778211</c:v>
                </c:pt>
                <c:pt idx="81">
                  <c:v>20.71827909343617</c:v>
                </c:pt>
                <c:pt idx="82">
                  <c:v>20.670883749319405</c:v>
                </c:pt>
                <c:pt idx="83">
                  <c:v>20.553976879891593</c:v>
                </c:pt>
                <c:pt idx="84">
                  <c:v>20.454796716508664</c:v>
                </c:pt>
                <c:pt idx="85">
                  <c:v>20.549052212663369</c:v>
                </c:pt>
                <c:pt idx="86">
                  <c:v>20.510201593378458</c:v>
                </c:pt>
                <c:pt idx="87">
                  <c:v>20.348703529281401</c:v>
                </c:pt>
                <c:pt idx="88">
                  <c:v>20.438417952862565</c:v>
                </c:pt>
                <c:pt idx="89">
                  <c:v>20.110010016556576</c:v>
                </c:pt>
                <c:pt idx="90">
                  <c:v>20.320953195052596</c:v>
                </c:pt>
                <c:pt idx="91">
                  <c:v>20.187666256884683</c:v>
                </c:pt>
                <c:pt idx="92">
                  <c:v>20.112062916414821</c:v>
                </c:pt>
                <c:pt idx="93">
                  <c:v>20.182106096595408</c:v>
                </c:pt>
                <c:pt idx="94">
                  <c:v>19.997123070204019</c:v>
                </c:pt>
                <c:pt idx="95">
                  <c:v>20.045289508220691</c:v>
                </c:pt>
                <c:pt idx="96">
                  <c:v>19.98106705389463</c:v>
                </c:pt>
                <c:pt idx="97">
                  <c:v>19.916841000549066</c:v>
                </c:pt>
                <c:pt idx="98">
                  <c:v>19.83297439910255</c:v>
                </c:pt>
                <c:pt idx="99">
                  <c:v>20.041243899194029</c:v>
                </c:pt>
                <c:pt idx="100">
                  <c:v>19.774916606914612</c:v>
                </c:pt>
                <c:pt idx="101">
                  <c:v>19.931503017503619</c:v>
                </c:pt>
                <c:pt idx="102">
                  <c:v>19.956220971838299</c:v>
                </c:pt>
                <c:pt idx="103">
                  <c:v>19.794598322512329</c:v>
                </c:pt>
                <c:pt idx="104">
                  <c:v>19.859469840335311</c:v>
                </c:pt>
                <c:pt idx="105">
                  <c:v>19.694846049240592</c:v>
                </c:pt>
                <c:pt idx="106">
                  <c:v>19.766184912494143</c:v>
                </c:pt>
                <c:pt idx="107">
                  <c:v>19.506842972693757</c:v>
                </c:pt>
                <c:pt idx="108">
                  <c:v>19.668396569065713</c:v>
                </c:pt>
                <c:pt idx="109">
                  <c:v>19.804961728538569</c:v>
                </c:pt>
                <c:pt idx="110">
                  <c:v>19.610791112789791</c:v>
                </c:pt>
                <c:pt idx="111">
                  <c:v>19.624643560263713</c:v>
                </c:pt>
                <c:pt idx="112">
                  <c:v>19.470467792400772</c:v>
                </c:pt>
                <c:pt idx="113">
                  <c:v>19.438446355463491</c:v>
                </c:pt>
                <c:pt idx="114">
                  <c:v>19.335207950047391</c:v>
                </c:pt>
                <c:pt idx="115">
                  <c:v>19.299508567801254</c:v>
                </c:pt>
                <c:pt idx="116">
                  <c:v>19.464504974948841</c:v>
                </c:pt>
                <c:pt idx="117">
                  <c:v>19.318389495733346</c:v>
                </c:pt>
                <c:pt idx="118">
                  <c:v>19.060608382499428</c:v>
                </c:pt>
                <c:pt idx="119">
                  <c:v>19.140288805116221</c:v>
                </c:pt>
                <c:pt idx="120">
                  <c:v>19.17518606218659</c:v>
                </c:pt>
                <c:pt idx="121">
                  <c:v>18.889589905362776</c:v>
                </c:pt>
                <c:pt idx="122">
                  <c:v>18.8890949295341</c:v>
                </c:pt>
                <c:pt idx="123">
                  <c:v>18.729234320999673</c:v>
                </c:pt>
                <c:pt idx="124">
                  <c:v>18.834222492623557</c:v>
                </c:pt>
                <c:pt idx="125">
                  <c:v>18.763370343613445</c:v>
                </c:pt>
                <c:pt idx="126">
                  <c:v>18.566087522583835</c:v>
                </c:pt>
                <c:pt idx="127">
                  <c:v>18.595873510316224</c:v>
                </c:pt>
                <c:pt idx="128">
                  <c:v>18.570757840667408</c:v>
                </c:pt>
                <c:pt idx="129">
                  <c:v>18.537855526117244</c:v>
                </c:pt>
                <c:pt idx="130">
                  <c:v>18.521095089524131</c:v>
                </c:pt>
                <c:pt idx="131">
                  <c:v>18.466623833949495</c:v>
                </c:pt>
                <c:pt idx="132">
                  <c:v>18.515832089143963</c:v>
                </c:pt>
                <c:pt idx="133">
                  <c:v>18.403083312801378</c:v>
                </c:pt>
                <c:pt idx="134">
                  <c:v>18.319701923380823</c:v>
                </c:pt>
                <c:pt idx="135">
                  <c:v>18.323981020617357</c:v>
                </c:pt>
                <c:pt idx="136">
                  <c:v>18.200867052023121</c:v>
                </c:pt>
                <c:pt idx="137">
                  <c:v>18.295705798831616</c:v>
                </c:pt>
                <c:pt idx="138">
                  <c:v>18.313574591756907</c:v>
                </c:pt>
                <c:pt idx="139">
                  <c:v>18.049394984918365</c:v>
                </c:pt>
                <c:pt idx="140">
                  <c:v>18.119347158434532</c:v>
                </c:pt>
                <c:pt idx="141">
                  <c:v>18.116553159956247</c:v>
                </c:pt>
                <c:pt idx="142">
                  <c:v>18.139543933380029</c:v>
                </c:pt>
                <c:pt idx="143">
                  <c:v>18.199450023656809</c:v>
                </c:pt>
                <c:pt idx="144">
                  <c:v>18.162462137910438</c:v>
                </c:pt>
                <c:pt idx="145">
                  <c:v>18.018340068386696</c:v>
                </c:pt>
                <c:pt idx="146">
                  <c:v>18.099082920458258</c:v>
                </c:pt>
                <c:pt idx="147">
                  <c:v>18.030765955181774</c:v>
                </c:pt>
                <c:pt idx="148">
                  <c:v>18.004364213449712</c:v>
                </c:pt>
                <c:pt idx="149">
                  <c:v>17.825497271638039</c:v>
                </c:pt>
                <c:pt idx="150">
                  <c:v>17.90847544048496</c:v>
                </c:pt>
                <c:pt idx="151">
                  <c:v>18.028871185159296</c:v>
                </c:pt>
                <c:pt idx="152">
                  <c:v>17.836940673527454</c:v>
                </c:pt>
                <c:pt idx="153">
                  <c:v>17.662836865964007</c:v>
                </c:pt>
                <c:pt idx="154">
                  <c:v>17.799255111821655</c:v>
                </c:pt>
                <c:pt idx="155">
                  <c:v>17.818656995039735</c:v>
                </c:pt>
                <c:pt idx="156">
                  <c:v>17.827603972356943</c:v>
                </c:pt>
                <c:pt idx="157">
                  <c:v>17.63633674453984</c:v>
                </c:pt>
                <c:pt idx="158">
                  <c:v>17.927136533878109</c:v>
                </c:pt>
                <c:pt idx="159">
                  <c:v>17.562979690324941</c:v>
                </c:pt>
                <c:pt idx="160">
                  <c:v>17.726340005254229</c:v>
                </c:pt>
                <c:pt idx="161">
                  <c:v>17.582458307597282</c:v>
                </c:pt>
                <c:pt idx="162">
                  <c:v>17.658664164996516</c:v>
                </c:pt>
                <c:pt idx="163">
                  <c:v>17.77602399461696</c:v>
                </c:pt>
                <c:pt idx="164">
                  <c:v>17.710648428645761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2-4296-9C1F-EA78160A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2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O2/Ar</a:t>
            </a:r>
            <a:r>
              <a:rPr lang="en-US"/>
              <a:t>/Ar</a:t>
            </a:r>
            <a:r>
              <a:rPr lang="en-US" baseline="0"/>
              <a:t> 26 s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Sheet1!$I$2:$I$166</c:f>
              <c:numCache>
                <c:formatCode>0.00E+00</c:formatCode>
                <c:ptCount val="165"/>
                <c:pt idx="1">
                  <c:v>6.1786799933320837E-8</c:v>
                </c:pt>
                <c:pt idx="2">
                  <c:v>8.0857121805568193E-8</c:v>
                </c:pt>
                <c:pt idx="3">
                  <c:v>6.5470306043445751E-8</c:v>
                </c:pt>
                <c:pt idx="4">
                  <c:v>6.5540720035701348E-8</c:v>
                </c:pt>
                <c:pt idx="5">
                  <c:v>6.4966756881474422E-8</c:v>
                </c:pt>
                <c:pt idx="6">
                  <c:v>6.6077707113180913E-8</c:v>
                </c:pt>
                <c:pt idx="7">
                  <c:v>6.5432740218245302E-8</c:v>
                </c:pt>
                <c:pt idx="8">
                  <c:v>6.5491527634363098E-8</c:v>
                </c:pt>
                <c:pt idx="9">
                  <c:v>6.6088800000000006E-8</c:v>
                </c:pt>
                <c:pt idx="10">
                  <c:v>6.6034570048289571E-8</c:v>
                </c:pt>
                <c:pt idx="11">
                  <c:v>6.6264731152141049E-8</c:v>
                </c:pt>
                <c:pt idx="12">
                  <c:v>6.552632890393568E-8</c:v>
                </c:pt>
                <c:pt idx="13">
                  <c:v>6.5993144392357527E-8</c:v>
                </c:pt>
                <c:pt idx="14">
                  <c:v>6.6081324693240105E-8</c:v>
                </c:pt>
                <c:pt idx="15">
                  <c:v>6.5901540990203289E-8</c:v>
                </c:pt>
                <c:pt idx="16">
                  <c:v>6.6042461518983911E-8</c:v>
                </c:pt>
                <c:pt idx="17">
                  <c:v>6.5932252421671674E-8</c:v>
                </c:pt>
                <c:pt idx="18">
                  <c:v>6.5638965799886936E-8</c:v>
                </c:pt>
                <c:pt idx="19">
                  <c:v>6.5531959658729481E-8</c:v>
                </c:pt>
                <c:pt idx="20">
                  <c:v>6.5637687024373133E-8</c:v>
                </c:pt>
                <c:pt idx="21">
                  <c:v>6.5637024831189846E-8</c:v>
                </c:pt>
                <c:pt idx="22">
                  <c:v>6.5436904858937851E-8</c:v>
                </c:pt>
                <c:pt idx="23">
                  <c:v>6.5922315958395655E-8</c:v>
                </c:pt>
                <c:pt idx="24">
                  <c:v>6.6179175991223948E-8</c:v>
                </c:pt>
                <c:pt idx="25">
                  <c:v>6.5308830136986309E-8</c:v>
                </c:pt>
                <c:pt idx="26">
                  <c:v>6.5434119706307499E-8</c:v>
                </c:pt>
                <c:pt idx="27">
                  <c:v>6.592189985622662E-8</c:v>
                </c:pt>
                <c:pt idx="28">
                  <c:v>6.5907610155376308E-8</c:v>
                </c:pt>
                <c:pt idx="29">
                  <c:v>6.5848265858179825E-8</c:v>
                </c:pt>
                <c:pt idx="30">
                  <c:v>6.5572013147313278E-8</c:v>
                </c:pt>
                <c:pt idx="31">
                  <c:v>6.5916008473433696E-8</c:v>
                </c:pt>
                <c:pt idx="32">
                  <c:v>6.459510201654965E-8</c:v>
                </c:pt>
                <c:pt idx="33">
                  <c:v>6.571985371155886E-8</c:v>
                </c:pt>
                <c:pt idx="34">
                  <c:v>6.552189630398361E-8</c:v>
                </c:pt>
                <c:pt idx="35">
                  <c:v>6.5892190294342976E-8</c:v>
                </c:pt>
                <c:pt idx="36">
                  <c:v>6.5547051927472289E-8</c:v>
                </c:pt>
                <c:pt idx="37">
                  <c:v>6.5823214692100035E-8</c:v>
                </c:pt>
                <c:pt idx="38">
                  <c:v>6.5737805810727722E-8</c:v>
                </c:pt>
                <c:pt idx="39">
                  <c:v>6.5293260320989426E-8</c:v>
                </c:pt>
                <c:pt idx="40">
                  <c:v>6.5899284834945785E-8</c:v>
                </c:pt>
                <c:pt idx="41">
                  <c:v>6.5679480447107489E-8</c:v>
                </c:pt>
                <c:pt idx="42">
                  <c:v>6.5365668234399458E-8</c:v>
                </c:pt>
                <c:pt idx="43">
                  <c:v>6.4800165065947974E-8</c:v>
                </c:pt>
                <c:pt idx="44">
                  <c:v>6.5205153843724681E-8</c:v>
                </c:pt>
                <c:pt idx="45">
                  <c:v>6.4920153981125093E-8</c:v>
                </c:pt>
                <c:pt idx="46">
                  <c:v>6.5059430523676345E-8</c:v>
                </c:pt>
                <c:pt idx="47">
                  <c:v>6.4394199156642552E-8</c:v>
                </c:pt>
                <c:pt idx="48">
                  <c:v>6.4600008171562988E-8</c:v>
                </c:pt>
                <c:pt idx="49">
                  <c:v>6.374277318139658E-8</c:v>
                </c:pt>
                <c:pt idx="50">
                  <c:v>6.4074721480361202E-8</c:v>
                </c:pt>
                <c:pt idx="51">
                  <c:v>6.4331102483554826E-8</c:v>
                </c:pt>
                <c:pt idx="52">
                  <c:v>6.4082827788664476E-8</c:v>
                </c:pt>
                <c:pt idx="53">
                  <c:v>6.3203579615349315E-8</c:v>
                </c:pt>
                <c:pt idx="54">
                  <c:v>6.3635611851121317E-8</c:v>
                </c:pt>
                <c:pt idx="55">
                  <c:v>6.3670752600750735E-8</c:v>
                </c:pt>
                <c:pt idx="56">
                  <c:v>6.3258821319137884E-8</c:v>
                </c:pt>
                <c:pt idx="57">
                  <c:v>6.3399181875901887E-8</c:v>
                </c:pt>
                <c:pt idx="58">
                  <c:v>6.3530299160196694E-8</c:v>
                </c:pt>
                <c:pt idx="59">
                  <c:v>6.3060652960932137E-8</c:v>
                </c:pt>
                <c:pt idx="60">
                  <c:v>6.2906162022644393E-8</c:v>
                </c:pt>
                <c:pt idx="61">
                  <c:v>6.2803003861447801E-8</c:v>
                </c:pt>
                <c:pt idx="62">
                  <c:v>6.3214329564545727E-8</c:v>
                </c:pt>
                <c:pt idx="63">
                  <c:v>6.3302626609353015E-8</c:v>
                </c:pt>
                <c:pt idx="64">
                  <c:v>6.2926159274554346E-8</c:v>
                </c:pt>
                <c:pt idx="65">
                  <c:v>6.2979655581949385E-8</c:v>
                </c:pt>
                <c:pt idx="66">
                  <c:v>6.2730849999999993E-8</c:v>
                </c:pt>
                <c:pt idx="67">
                  <c:v>6.2962358893078472E-8</c:v>
                </c:pt>
                <c:pt idx="68">
                  <c:v>6.2750631354394484E-8</c:v>
                </c:pt>
                <c:pt idx="69">
                  <c:v>6.2818264360349897E-8</c:v>
                </c:pt>
                <c:pt idx="70">
                  <c:v>6.2533531874831882E-8</c:v>
                </c:pt>
                <c:pt idx="71">
                  <c:v>6.2487346750631287E-8</c:v>
                </c:pt>
                <c:pt idx="72">
                  <c:v>6.2645213745061994E-8</c:v>
                </c:pt>
                <c:pt idx="73">
                  <c:v>6.1786359684265296E-8</c:v>
                </c:pt>
                <c:pt idx="74">
                  <c:v>6.1830155506276236E-8</c:v>
                </c:pt>
                <c:pt idx="75">
                  <c:v>6.1863404900879546E-8</c:v>
                </c:pt>
                <c:pt idx="76">
                  <c:v>6.1574795605723959E-8</c:v>
                </c:pt>
                <c:pt idx="77">
                  <c:v>6.1886634605014974E-8</c:v>
                </c:pt>
                <c:pt idx="78">
                  <c:v>6.1569755526442239E-8</c:v>
                </c:pt>
                <c:pt idx="79">
                  <c:v>6.196108124633719E-8</c:v>
                </c:pt>
                <c:pt idx="80">
                  <c:v>6.1294284385902312E-8</c:v>
                </c:pt>
                <c:pt idx="81">
                  <c:v>6.1161188614987313E-8</c:v>
                </c:pt>
                <c:pt idx="82">
                  <c:v>6.1021275663340849E-8</c:v>
                </c:pt>
                <c:pt idx="83">
                  <c:v>6.0676161908515173E-8</c:v>
                </c:pt>
                <c:pt idx="84">
                  <c:v>6.038337809900223E-8</c:v>
                </c:pt>
                <c:pt idx="85">
                  <c:v>6.0661624093870775E-8</c:v>
                </c:pt>
                <c:pt idx="86">
                  <c:v>6.0546935511716938E-8</c:v>
                </c:pt>
                <c:pt idx="87">
                  <c:v>6.0070186766579873E-8</c:v>
                </c:pt>
                <c:pt idx="88">
                  <c:v>6.0335027333568413E-8</c:v>
                </c:pt>
                <c:pt idx="89">
                  <c:v>5.936555396927568E-8</c:v>
                </c:pt>
                <c:pt idx="90">
                  <c:v>5.9988266669923063E-8</c:v>
                </c:pt>
                <c:pt idx="91">
                  <c:v>5.9594798296973868E-8</c:v>
                </c:pt>
                <c:pt idx="92">
                  <c:v>5.9371614211773205E-8</c:v>
                </c:pt>
                <c:pt idx="93">
                  <c:v>5.9578384481393509E-8</c:v>
                </c:pt>
                <c:pt idx="94">
                  <c:v>5.9032307188165071E-8</c:v>
                </c:pt>
                <c:pt idx="95">
                  <c:v>5.9174496439847808E-8</c:v>
                </c:pt>
                <c:pt idx="96">
                  <c:v>5.8984909185779104E-8</c:v>
                </c:pt>
                <c:pt idx="97">
                  <c:v>5.8795311307260865E-8</c:v>
                </c:pt>
                <c:pt idx="98">
                  <c:v>5.8547733745126691E-8</c:v>
                </c:pt>
                <c:pt idx="99">
                  <c:v>5.916255364017674E-8</c:v>
                </c:pt>
                <c:pt idx="100">
                  <c:v>5.8376344820276212E-8</c:v>
                </c:pt>
                <c:pt idx="101">
                  <c:v>5.8838594167791388E-8</c:v>
                </c:pt>
                <c:pt idx="102">
                  <c:v>5.8911562557705542E-8</c:v>
                </c:pt>
                <c:pt idx="103">
                  <c:v>5.8434446031989293E-8</c:v>
                </c:pt>
                <c:pt idx="104">
                  <c:v>5.8625949347463449E-8</c:v>
                </c:pt>
                <c:pt idx="105">
                  <c:v>5.8139973331200203E-8</c:v>
                </c:pt>
                <c:pt idx="106">
                  <c:v>5.8350568509079214E-8</c:v>
                </c:pt>
                <c:pt idx="107">
                  <c:v>5.7584980729110883E-8</c:v>
                </c:pt>
                <c:pt idx="108">
                  <c:v>5.806189340774475E-8</c:v>
                </c:pt>
                <c:pt idx="109">
                  <c:v>5.8465039221114996E-8</c:v>
                </c:pt>
                <c:pt idx="110">
                  <c:v>5.7891839796599975E-8</c:v>
                </c:pt>
                <c:pt idx="111">
                  <c:v>5.7932732775640895E-8</c:v>
                </c:pt>
                <c:pt idx="112">
                  <c:v>5.7477599741878778E-8</c:v>
                </c:pt>
                <c:pt idx="113">
                  <c:v>5.7383071179182446E-8</c:v>
                </c:pt>
                <c:pt idx="114">
                  <c:v>5.7078307276857892E-8</c:v>
                </c:pt>
                <c:pt idx="115">
                  <c:v>5.6972921272492016E-8</c:v>
                </c:pt>
                <c:pt idx="116">
                  <c:v>5.7459997266247974E-8</c:v>
                </c:pt>
                <c:pt idx="117">
                  <c:v>5.7028658526984669E-8</c:v>
                </c:pt>
                <c:pt idx="118">
                  <c:v>5.6267678369473609E-8</c:v>
                </c:pt>
                <c:pt idx="119">
                  <c:v>5.6502898164255286E-8</c:v>
                </c:pt>
                <c:pt idx="120">
                  <c:v>5.66059162630173E-8</c:v>
                </c:pt>
                <c:pt idx="121">
                  <c:v>5.576282498422713E-8</c:v>
                </c:pt>
                <c:pt idx="122">
                  <c:v>5.5761363795781848E-8</c:v>
                </c:pt>
                <c:pt idx="123">
                  <c:v>5.5289448884963874E-8</c:v>
                </c:pt>
                <c:pt idx="124">
                  <c:v>5.559937816712444E-8</c:v>
                </c:pt>
                <c:pt idx="125">
                  <c:v>5.5390219789160641E-8</c:v>
                </c:pt>
                <c:pt idx="126">
                  <c:v>5.4807833010168386E-8</c:v>
                </c:pt>
                <c:pt idx="127">
                  <c:v>5.4895762437393905E-8</c:v>
                </c:pt>
                <c:pt idx="128">
                  <c:v>5.4821619975963816E-8</c:v>
                </c:pt>
                <c:pt idx="129">
                  <c:v>5.4724491027319144E-8</c:v>
                </c:pt>
                <c:pt idx="130">
                  <c:v>5.4675013548078815E-8</c:v>
                </c:pt>
                <c:pt idx="131">
                  <c:v>5.4514212222772268E-8</c:v>
                </c:pt>
                <c:pt idx="132">
                  <c:v>5.4659476960436543E-8</c:v>
                </c:pt>
                <c:pt idx="133">
                  <c:v>5.4326638062722185E-8</c:v>
                </c:pt>
                <c:pt idx="134">
                  <c:v>5.4080492865897122E-8</c:v>
                </c:pt>
                <c:pt idx="135">
                  <c:v>5.4093124932103265E-8</c:v>
                </c:pt>
                <c:pt idx="136">
                  <c:v>5.3729687572254336E-8</c:v>
                </c:pt>
                <c:pt idx="137">
                  <c:v>5.4009655346382885E-8</c:v>
                </c:pt>
                <c:pt idx="138">
                  <c:v>5.4062404737850064E-8</c:v>
                </c:pt>
                <c:pt idx="139">
                  <c:v>5.3282535971278409E-8</c:v>
                </c:pt>
                <c:pt idx="140">
                  <c:v>5.3489037585585076E-8</c:v>
                </c:pt>
                <c:pt idx="141">
                  <c:v>5.3480789590317242E-8</c:v>
                </c:pt>
                <c:pt idx="142">
                  <c:v>5.3548659273095187E-8</c:v>
                </c:pt>
                <c:pt idx="143">
                  <c:v>5.372550444783585E-8</c:v>
                </c:pt>
                <c:pt idx="144">
                  <c:v>5.3616314729597132E-8</c:v>
                </c:pt>
                <c:pt idx="145">
                  <c:v>5.319086061548027E-8</c:v>
                </c:pt>
                <c:pt idx="146">
                  <c:v>5.3429216744509599E-8</c:v>
                </c:pt>
                <c:pt idx="147">
                  <c:v>5.3227542330334807E-8</c:v>
                </c:pt>
                <c:pt idx="148">
                  <c:v>5.3149603332672089E-8</c:v>
                </c:pt>
                <c:pt idx="149">
                  <c:v>5.2621580965766351E-8</c:v>
                </c:pt>
                <c:pt idx="150">
                  <c:v>5.2866535839329222E-8</c:v>
                </c:pt>
                <c:pt idx="151">
                  <c:v>5.3221948893437649E-8</c:v>
                </c:pt>
                <c:pt idx="152">
                  <c:v>5.2655362345879995E-8</c:v>
                </c:pt>
                <c:pt idx="153">
                  <c:v>5.2141400941800388E-8</c:v>
                </c:pt>
                <c:pt idx="154">
                  <c:v>5.2544113060301993E-8</c:v>
                </c:pt>
                <c:pt idx="155">
                  <c:v>5.2601388195637102E-8</c:v>
                </c:pt>
                <c:pt idx="156">
                  <c:v>5.2627800030556597E-8</c:v>
                </c:pt>
                <c:pt idx="157">
                  <c:v>5.2063171523351383E-8</c:v>
                </c:pt>
                <c:pt idx="158">
                  <c:v>5.2921624133469531E-8</c:v>
                </c:pt>
                <c:pt idx="159">
                  <c:v>5.1846618565026845E-8</c:v>
                </c:pt>
                <c:pt idx="160">
                  <c:v>5.2328864749110699E-8</c:v>
                </c:pt>
                <c:pt idx="161">
                  <c:v>5.1904120222359487E-8</c:v>
                </c:pt>
                <c:pt idx="162">
                  <c:v>5.2129082961636316E-8</c:v>
                </c:pt>
                <c:pt idx="163">
                  <c:v>5.2475533873069046E-8</c:v>
                </c:pt>
                <c:pt idx="164">
                  <c:v>5.2282542587299438E-8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4-43BE-AD71-0B4F905C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7.0000000000000031E-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O2/Ar</a:t>
            </a:r>
            <a:r>
              <a:rPr lang="en-US"/>
              <a:t>/Ar initial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Sheet1!$J$2:$J$166</c:f>
              <c:numCache>
                <c:formatCode>0.00E+00</c:formatCode>
                <c:ptCount val="165"/>
                <c:pt idx="1">
                  <c:v>7.0312300000000004E-8</c:v>
                </c:pt>
                <c:pt idx="2">
                  <c:v>9.2013993468913582E-8</c:v>
                </c:pt>
                <c:pt idx="3">
                  <c:v>7.4504065667528349E-8</c:v>
                </c:pt>
                <c:pt idx="4">
                  <c:v>7.45841955618264E-8</c:v>
                </c:pt>
                <c:pt idx="5">
                  <c:v>7.3931035509315164E-8</c:v>
                </c:pt>
                <c:pt idx="6">
                  <c:v>7.5195277484318158E-8</c:v>
                </c:pt>
                <c:pt idx="7">
                  <c:v>7.4461316414061722E-8</c:v>
                </c:pt>
                <c:pt idx="8">
                  <c:v>7.4528215467625903E-8</c:v>
                </c:pt>
                <c:pt idx="9">
                  <c:v>7.5207900995921476E-8</c:v>
                </c:pt>
                <c:pt idx="10">
                  <c:v>7.5146188257314445E-8</c:v>
                </c:pt>
                <c:pt idx="11">
                  <c:v>7.540810757664804E-8</c:v>
                </c:pt>
                <c:pt idx="12">
                  <c:v>7.4567818705035985E-8</c:v>
                </c:pt>
                <c:pt idx="13">
                  <c:v>7.5099046583838328E-8</c:v>
                </c:pt>
                <c:pt idx="14">
                  <c:v>7.5199394227290277E-8</c:v>
                </c:pt>
                <c:pt idx="15">
                  <c:v>7.4994803510880356E-8</c:v>
                </c:pt>
                <c:pt idx="16">
                  <c:v>7.5155168613239983E-8</c:v>
                </c:pt>
                <c:pt idx="17">
                  <c:v>7.5029752583905092E-8</c:v>
                </c:pt>
                <c:pt idx="18">
                  <c:v>7.4695997526851328E-8</c:v>
                </c:pt>
                <c:pt idx="19">
                  <c:v>7.4574226405721492E-8</c:v>
                </c:pt>
                <c:pt idx="20">
                  <c:v>7.4694542302634246E-8</c:v>
                </c:pt>
                <c:pt idx="21">
                  <c:v>7.4693788738348475E-8</c:v>
                </c:pt>
                <c:pt idx="22">
                  <c:v>7.446605570248712E-8</c:v>
                </c:pt>
                <c:pt idx="23">
                  <c:v>7.5018445062111487E-8</c:v>
                </c:pt>
                <c:pt idx="24">
                  <c:v>7.5310747296661975E-8</c:v>
                </c:pt>
                <c:pt idx="25">
                  <c:v>7.4320308904109599E-8</c:v>
                </c:pt>
                <c:pt idx="26">
                  <c:v>7.4462886247401204E-8</c:v>
                </c:pt>
                <c:pt idx="27">
                  <c:v>7.5017971545105093E-8</c:v>
                </c:pt>
                <c:pt idx="28">
                  <c:v>7.5001710114926124E-8</c:v>
                </c:pt>
                <c:pt idx="29">
                  <c:v>7.4934177340413259E-8</c:v>
                </c:pt>
                <c:pt idx="30">
                  <c:v>7.4619806576702832E-8</c:v>
                </c:pt>
                <c:pt idx="31">
                  <c:v>7.501126725430515E-8</c:v>
                </c:pt>
                <c:pt idx="32">
                  <c:v>7.3508098759277102E-8</c:v>
                </c:pt>
                <c:pt idx="33">
                  <c:v>7.4788046558650802E-8</c:v>
                </c:pt>
                <c:pt idx="34">
                  <c:v>7.4562774483649743E-8</c:v>
                </c:pt>
                <c:pt idx="35">
                  <c:v>7.4984162582182801E-8</c:v>
                </c:pt>
                <c:pt idx="36">
                  <c:v>7.4591401144155434E-8</c:v>
                </c:pt>
                <c:pt idx="37">
                  <c:v>7.4905669550615871E-8</c:v>
                </c:pt>
                <c:pt idx="38">
                  <c:v>7.4808475734198848E-8</c:v>
                </c:pt>
                <c:pt idx="39">
                  <c:v>7.4302590725234846E-8</c:v>
                </c:pt>
                <c:pt idx="40">
                  <c:v>7.49922360455725E-8</c:v>
                </c:pt>
                <c:pt idx="41">
                  <c:v>7.4742102488312993E-8</c:v>
                </c:pt>
                <c:pt idx="42">
                  <c:v>7.4384989667008072E-8</c:v>
                </c:pt>
                <c:pt idx="43">
                  <c:v>7.3741456930662758E-8</c:v>
                </c:pt>
                <c:pt idx="44">
                  <c:v>7.4202327091771586E-8</c:v>
                </c:pt>
                <c:pt idx="45">
                  <c:v>7.3878002222047201E-8</c:v>
                </c:pt>
                <c:pt idx="46">
                  <c:v>7.4036496496769221E-8</c:v>
                </c:pt>
                <c:pt idx="47">
                  <c:v>7.3279474810927456E-8</c:v>
                </c:pt>
                <c:pt idx="48">
                  <c:v>7.3513681878058414E-8</c:v>
                </c:pt>
                <c:pt idx="49">
                  <c:v>7.2538163420003874E-8</c:v>
                </c:pt>
                <c:pt idx="50">
                  <c:v>7.2915914790951685E-8</c:v>
                </c:pt>
                <c:pt idx="51">
                  <c:v>7.3207671898138098E-8</c:v>
                </c:pt>
                <c:pt idx="52">
                  <c:v>7.2925139628326791E-8</c:v>
                </c:pt>
                <c:pt idx="53">
                  <c:v>7.1924570552030475E-8</c:v>
                </c:pt>
                <c:pt idx="54">
                  <c:v>7.2416215696366383E-8</c:v>
                </c:pt>
                <c:pt idx="55">
                  <c:v>7.2456205256156421E-8</c:v>
                </c:pt>
                <c:pt idx="56">
                  <c:v>7.1987434646844976E-8</c:v>
                </c:pt>
                <c:pt idx="57">
                  <c:v>7.2147162510822525E-8</c:v>
                </c:pt>
                <c:pt idx="58">
                  <c:v>7.2296371692046852E-8</c:v>
                </c:pt>
                <c:pt idx="59">
                  <c:v>7.1761922513708012E-8</c:v>
                </c:pt>
                <c:pt idx="60">
                  <c:v>7.1586114522164637E-8</c:v>
                </c:pt>
                <c:pt idx="61">
                  <c:v>7.1468722335074018E-8</c:v>
                </c:pt>
                <c:pt idx="62">
                  <c:v>7.1936803806604228E-8</c:v>
                </c:pt>
                <c:pt idx="63">
                  <c:v>7.2037284302605045E-8</c:v>
                </c:pt>
                <c:pt idx="64">
                  <c:v>7.1608871045839357E-8</c:v>
                </c:pt>
                <c:pt idx="65">
                  <c:v>7.1669748910019275E-8</c:v>
                </c:pt>
                <c:pt idx="66">
                  <c:v>7.13866125E-8</c:v>
                </c:pt>
                <c:pt idx="67">
                  <c:v>7.1650065579951833E-8</c:v>
                </c:pt>
                <c:pt idx="68">
                  <c:v>7.1409123336070047E-8</c:v>
                </c:pt>
                <c:pt idx="69">
                  <c:v>7.1486088516493213E-8</c:v>
                </c:pt>
                <c:pt idx="70">
                  <c:v>7.1162067917221304E-8</c:v>
                </c:pt>
                <c:pt idx="71">
                  <c:v>7.1109510051919429E-8</c:v>
                </c:pt>
                <c:pt idx="72">
                  <c:v>7.1289159936433415E-8</c:v>
                </c:pt>
                <c:pt idx="73">
                  <c:v>7.031179900425818E-8</c:v>
                </c:pt>
                <c:pt idx="74">
                  <c:v>7.0361637885367142E-8</c:v>
                </c:pt>
                <c:pt idx="75">
                  <c:v>7.0399475116146028E-8</c:v>
                </c:pt>
                <c:pt idx="76">
                  <c:v>7.007104277516596E-8</c:v>
                </c:pt>
                <c:pt idx="77">
                  <c:v>7.0425910114039489E-8</c:v>
                </c:pt>
                <c:pt idx="78">
                  <c:v>7.0065307252904518E-8</c:v>
                </c:pt>
                <c:pt idx="79">
                  <c:v>7.0510629092596218E-8</c:v>
                </c:pt>
                <c:pt idx="80">
                  <c:v>6.9751825902585552E-8</c:v>
                </c:pt>
                <c:pt idx="81">
                  <c:v>6.9600365238116673E-8</c:v>
                </c:pt>
                <c:pt idx="82">
                  <c:v>6.944114674095113E-8</c:v>
                </c:pt>
                <c:pt idx="83">
                  <c:v>6.9048413311001421E-8</c:v>
                </c:pt>
                <c:pt idx="84">
                  <c:v>6.871523044553772E-8</c:v>
                </c:pt>
                <c:pt idx="85">
                  <c:v>6.9031869531654953E-8</c:v>
                </c:pt>
                <c:pt idx="86">
                  <c:v>6.8901355926747794E-8</c:v>
                </c:pt>
                <c:pt idx="87">
                  <c:v>6.8358824175162066E-8</c:v>
                </c:pt>
                <c:pt idx="88">
                  <c:v>6.8660208118307918E-8</c:v>
                </c:pt>
                <c:pt idx="89">
                  <c:v>6.7556964349319672E-8</c:v>
                </c:pt>
                <c:pt idx="90">
                  <c:v>6.826560053486384E-8</c:v>
                </c:pt>
                <c:pt idx="91">
                  <c:v>6.7817840393390709E-8</c:v>
                </c:pt>
                <c:pt idx="92">
                  <c:v>6.7563860799516467E-8</c:v>
                </c:pt>
                <c:pt idx="93">
                  <c:v>6.7799161757719714E-8</c:v>
                </c:pt>
                <c:pt idx="94">
                  <c:v>6.7177735328351276E-8</c:v>
                </c:pt>
                <c:pt idx="95">
                  <c:v>6.7339544215231343E-8</c:v>
                </c:pt>
                <c:pt idx="96">
                  <c:v>6.7123797228842009E-8</c:v>
                </c:pt>
                <c:pt idx="97">
                  <c:v>6.6908038152014513E-8</c:v>
                </c:pt>
                <c:pt idx="98">
                  <c:v>6.6626299207113138E-8</c:v>
                </c:pt>
                <c:pt idx="99">
                  <c:v>6.7325953517635445E-8</c:v>
                </c:pt>
                <c:pt idx="100">
                  <c:v>6.6431261601770734E-8</c:v>
                </c:pt>
                <c:pt idx="101">
                  <c:v>6.6957293291911138E-8</c:v>
                </c:pt>
                <c:pt idx="102">
                  <c:v>6.7040330046164437E-8</c:v>
                </c:pt>
                <c:pt idx="103">
                  <c:v>6.649737976669824E-8</c:v>
                </c:pt>
                <c:pt idx="104">
                  <c:v>6.6715307197527237E-8</c:v>
                </c:pt>
                <c:pt idx="105">
                  <c:v>6.6162274972437375E-8</c:v>
                </c:pt>
                <c:pt idx="106">
                  <c:v>6.640192860948546E-8</c:v>
                </c:pt>
                <c:pt idx="107">
                  <c:v>6.5530703077178228E-8</c:v>
                </c:pt>
                <c:pt idx="108">
                  <c:v>6.6073421382222285E-8</c:v>
                </c:pt>
                <c:pt idx="109">
                  <c:v>6.653219428200062E-8</c:v>
                </c:pt>
                <c:pt idx="110">
                  <c:v>6.5879903340572649E-8</c:v>
                </c:pt>
                <c:pt idx="111">
                  <c:v>6.5926438837043112E-8</c:v>
                </c:pt>
                <c:pt idx="112">
                  <c:v>6.5408505387757381E-8</c:v>
                </c:pt>
                <c:pt idx="113">
                  <c:v>6.5300933533153393E-8</c:v>
                </c:pt>
                <c:pt idx="114">
                  <c:v>6.4954117531150699E-8</c:v>
                </c:pt>
                <c:pt idx="115">
                  <c:v>6.4834190097414491E-8</c:v>
                </c:pt>
                <c:pt idx="116">
                  <c:v>6.5388474077693887E-8</c:v>
                </c:pt>
                <c:pt idx="117">
                  <c:v>6.489761812028173E-8</c:v>
                </c:pt>
                <c:pt idx="118">
                  <c:v>6.4031635981917108E-8</c:v>
                </c:pt>
                <c:pt idx="119">
                  <c:v>6.4299312003243282E-8</c:v>
                </c:pt>
                <c:pt idx="120">
                  <c:v>6.4416544801727763E-8</c:v>
                </c:pt>
                <c:pt idx="121">
                  <c:v>6.3457121640378546E-8</c:v>
                </c:pt>
                <c:pt idx="122">
                  <c:v>6.3455458833428978E-8</c:v>
                </c:pt>
                <c:pt idx="123">
                  <c:v>6.2918427900936677E-8</c:v>
                </c:pt>
                <c:pt idx="124">
                  <c:v>6.3271122015044791E-8</c:v>
                </c:pt>
                <c:pt idx="125">
                  <c:v>6.3033103431224707E-8</c:v>
                </c:pt>
                <c:pt idx="126">
                  <c:v>6.2370357440742457E-8</c:v>
                </c:pt>
                <c:pt idx="127">
                  <c:v>6.2470419594351016E-8</c:v>
                </c:pt>
                <c:pt idx="128">
                  <c:v>6.238604676720288E-8</c:v>
                </c:pt>
                <c:pt idx="129">
                  <c:v>6.2275515718772488E-8</c:v>
                </c:pt>
                <c:pt idx="130">
                  <c:v>6.2219211210894681E-8</c:v>
                </c:pt>
                <c:pt idx="131">
                  <c:v>6.2036222109054908E-8</c:v>
                </c:pt>
                <c:pt idx="132">
                  <c:v>6.220153084530756E-8</c:v>
                </c:pt>
                <c:pt idx="133">
                  <c:v>6.1822765988525571E-8</c:v>
                </c:pt>
                <c:pt idx="134">
                  <c:v>6.1542657050347847E-8</c:v>
                </c:pt>
                <c:pt idx="135">
                  <c:v>6.1557032121231336E-8</c:v>
                </c:pt>
                <c:pt idx="136">
                  <c:v>6.1143446748554908E-8</c:v>
                </c:pt>
                <c:pt idx="137">
                  <c:v>6.1462045189420975E-8</c:v>
                </c:pt>
                <c:pt idx="138">
                  <c:v>6.1522073076310403E-8</c:v>
                </c:pt>
                <c:pt idx="139">
                  <c:v>6.0634596030485209E-8</c:v>
                </c:pt>
                <c:pt idx="140">
                  <c:v>6.0869591263630217E-8</c:v>
                </c:pt>
                <c:pt idx="141">
                  <c:v>6.0860205188962217E-8</c:v>
                </c:pt>
                <c:pt idx="142">
                  <c:v>6.0937439703478878E-8</c:v>
                </c:pt>
                <c:pt idx="143">
                  <c:v>6.1138686425971971E-8</c:v>
                </c:pt>
                <c:pt idx="144">
                  <c:v>6.1014430432232196E-8</c:v>
                </c:pt>
                <c:pt idx="145">
                  <c:v>6.0530271075536218E-8</c:v>
                </c:pt>
                <c:pt idx="146">
                  <c:v>6.0801516190499862E-8</c:v>
                </c:pt>
                <c:pt idx="147">
                  <c:v>6.0572014226859E-8</c:v>
                </c:pt>
                <c:pt idx="148">
                  <c:v>6.048332100773656E-8</c:v>
                </c:pt>
                <c:pt idx="149">
                  <c:v>5.9882440769422681E-8</c:v>
                </c:pt>
                <c:pt idx="150">
                  <c:v>6.0161195140501959E-8</c:v>
                </c:pt>
                <c:pt idx="151">
                  <c:v>6.0565648993288586E-8</c:v>
                </c:pt>
                <c:pt idx="152">
                  <c:v>5.9920883390427922E-8</c:v>
                </c:pt>
                <c:pt idx="153">
                  <c:v>5.9336004282413514E-8</c:v>
                </c:pt>
                <c:pt idx="154">
                  <c:v>5.979428364500031E-8</c:v>
                </c:pt>
                <c:pt idx="155">
                  <c:v>5.9859461749426639E-8</c:v>
                </c:pt>
                <c:pt idx="156">
                  <c:v>5.9889517956616747E-8</c:v>
                </c:pt>
                <c:pt idx="157">
                  <c:v>5.9246980569504807E-8</c:v>
                </c:pt>
                <c:pt idx="158">
                  <c:v>6.0223884657814098E-8</c:v>
                </c:pt>
                <c:pt idx="159">
                  <c:v>5.90005470822869E-8</c:v>
                </c:pt>
                <c:pt idx="160">
                  <c:v>5.9549334823450901E-8</c:v>
                </c:pt>
                <c:pt idx="161">
                  <c:v>5.9065982964793088E-8</c:v>
                </c:pt>
                <c:pt idx="162">
                  <c:v>5.9321986635964343E-8</c:v>
                </c:pt>
                <c:pt idx="163">
                  <c:v>5.9716241726796386E-8</c:v>
                </c:pt>
                <c:pt idx="164">
                  <c:v>5.9496621011739713E-8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0-4720-AA60-E3E29E7A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8.0000000000000041E-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O2 calibration O2 raw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3896863301923324"/>
          <c:y val="0.2221860858229914"/>
          <c:w val="0.58040379567938627"/>
          <c:h val="0.577132223434648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443483498988856"/>
                  <c:y val="0.27413374206471169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Sheet1!$Z$3:$Z$4</c:f>
              <c:numCache>
                <c:formatCode>0.00E+00</c:formatCode>
                <c:ptCount val="2"/>
                <c:pt idx="0">
                  <c:v>6.6565920000000003E-8</c:v>
                </c:pt>
                <c:pt idx="1">
                  <c:v>1E-10</c:v>
                </c:pt>
              </c:numCache>
            </c:numRef>
          </c:xVal>
          <c:yVal>
            <c:numRef>
              <c:f>Sheet1!$AA$3:$AA$4</c:f>
              <c:numCache>
                <c:formatCode>General</c:formatCode>
                <c:ptCount val="2"/>
                <c:pt idx="0" formatCode="0">
                  <c:v>252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0-48E9-80F0-2E1922E01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02207"/>
        <c:axId val="2055104127"/>
      </c:scatterChart>
      <c:valAx>
        <c:axId val="205510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 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4127"/>
        <c:crosses val="autoZero"/>
        <c:crossBetween val="midCat"/>
      </c:valAx>
      <c:valAx>
        <c:axId val="2055104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</a:t>
                </a:r>
                <a:r>
                  <a:rPr lang="en-US" baseline="0"/>
                  <a:t> (uM)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O2 calibration O2/Ar norm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7085749065805176"/>
          <c:y val="0.2221860858229914"/>
          <c:w val="0.54851510605954845"/>
          <c:h val="0.551895328380512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674364467692424"/>
                  <c:y val="0.24048494017401995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Sheet1!$Z$14:$Z$15</c:f>
              <c:numCache>
                <c:formatCode>0.00E+00</c:formatCode>
                <c:ptCount val="2"/>
                <c:pt idx="0" formatCode="0.00">
                  <c:v>22.204000000000001</c:v>
                </c:pt>
                <c:pt idx="1">
                  <c:v>1E-4</c:v>
                </c:pt>
              </c:numCache>
            </c:numRef>
          </c:xVal>
          <c:yVal>
            <c:numRef>
              <c:f>Sheet1!$AA$14:$AA$15</c:f>
              <c:numCache>
                <c:formatCode>General</c:formatCode>
                <c:ptCount val="2"/>
                <c:pt idx="0" formatCode="0">
                  <c:v>252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7-47AD-B6A3-C96D4097E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02207"/>
        <c:axId val="2055104127"/>
      </c:scatterChart>
      <c:valAx>
        <c:axId val="205510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 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4127"/>
        <c:crosses val="autoZero"/>
        <c:crossBetween val="midCat"/>
      </c:valAx>
      <c:valAx>
        <c:axId val="20551041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</a:t>
                </a:r>
                <a:r>
                  <a:rPr lang="en-US" baseline="0"/>
                  <a:t> (uM)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O2 calibration O2/Ar at</a:t>
            </a:r>
            <a:r>
              <a:rPr lang="en-US" sz="1200" baseline="0"/>
              <a:t> 26s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452302830251471"/>
          <c:y val="0.2221860858229914"/>
          <c:w val="0.60712234348075833"/>
          <c:h val="0.5434831279078392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674364467692424"/>
                  <c:y val="0.2404849401740199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Sheet1!$Z$25:$Z$26</c:f>
              <c:numCache>
                <c:formatCode>0.00E+00</c:formatCode>
                <c:ptCount val="2"/>
                <c:pt idx="0">
                  <c:v>6.5570999999999999E-8</c:v>
                </c:pt>
                <c:pt idx="1">
                  <c:v>1.0000000000000001E-9</c:v>
                </c:pt>
              </c:numCache>
            </c:numRef>
          </c:xVal>
          <c:yVal>
            <c:numRef>
              <c:f>Sheet1!$AA$25:$AA$26</c:f>
              <c:numCache>
                <c:formatCode>General</c:formatCode>
                <c:ptCount val="2"/>
                <c:pt idx="0" formatCode="0">
                  <c:v>252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0-46B4-B1CB-9B560EEFE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02207"/>
        <c:axId val="2055104127"/>
      </c:scatterChart>
      <c:valAx>
        <c:axId val="205510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 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4127"/>
        <c:crosses val="autoZero"/>
        <c:crossBetween val="midCat"/>
      </c:valAx>
      <c:valAx>
        <c:axId val="20551041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</a:t>
                </a:r>
                <a:r>
                  <a:rPr lang="en-US" baseline="0"/>
                  <a:t> (uM)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O2 calibration O2/Ar</a:t>
            </a:r>
            <a:r>
              <a:rPr lang="en-US" sz="1200" baseline="0"/>
              <a:t> init</a:t>
            </a:r>
            <a:endParaRPr lang="en-US" sz="1200"/>
          </a:p>
        </c:rich>
      </c:tx>
      <c:layout>
        <c:manualLayout>
          <c:xMode val="edge"/>
          <c:yMode val="edge"/>
          <c:x val="0.21910132105503644"/>
          <c:y val="5.0473202836037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896868015173015"/>
          <c:y val="0.2221860858229914"/>
          <c:w val="0.61338378639065871"/>
          <c:h val="0.5434831279078392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674364467692424"/>
                  <c:y val="0.2404849401740199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Sheet1!$Z$36:$Z$37</c:f>
              <c:numCache>
                <c:formatCode>0.00E+00</c:formatCode>
                <c:ptCount val="2"/>
                <c:pt idx="0">
                  <c:v>7.4299999999999997E-8</c:v>
                </c:pt>
                <c:pt idx="1">
                  <c:v>1E-10</c:v>
                </c:pt>
              </c:numCache>
            </c:numRef>
          </c:xVal>
          <c:yVal>
            <c:numRef>
              <c:f>Sheet1!$AA$36:$AA$37</c:f>
              <c:numCache>
                <c:formatCode>General</c:formatCode>
                <c:ptCount val="2"/>
                <c:pt idx="0" formatCode="0">
                  <c:v>252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88-4C46-80E9-7038C94D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02207"/>
        <c:axId val="2055104127"/>
      </c:scatterChart>
      <c:valAx>
        <c:axId val="205510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 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4127"/>
        <c:crosses val="autoZero"/>
        <c:crossBetween val="midCat"/>
      </c:valAx>
      <c:valAx>
        <c:axId val="20551041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</a:t>
                </a:r>
                <a:r>
                  <a:rPr lang="en-US" baseline="0"/>
                  <a:t> (uM)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5510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</a:t>
            </a:r>
            <a:r>
              <a:rPr lang="en-US"/>
              <a:t> raw -</a:t>
            </a:r>
            <a:r>
              <a:rPr lang="en-US" baseline="0"/>
              <a:t> calibrated</a:t>
            </a:r>
            <a:endParaRPr lang="cs-CZ"/>
          </a:p>
        </c:rich>
      </c:tx>
      <c:layout>
        <c:manualLayout>
          <c:xMode val="edge"/>
          <c:yMode val="edge"/>
          <c:x val="0.22265205979687319"/>
          <c:y val="3.3670051523132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335729772908822"/>
          <c:y val="0.24976444219859603"/>
          <c:w val="0.68643980372018709"/>
          <c:h val="0.54014610151175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Sheet1!$L$2:$L$166</c:f>
              <c:numCache>
                <c:formatCode>0.00</c:formatCode>
                <c:ptCount val="165"/>
                <c:pt idx="1">
                  <c:v>266.10461700000002</c:v>
                </c:pt>
                <c:pt idx="2">
                  <c:v>250.70812100000001</c:v>
                </c:pt>
                <c:pt idx="3">
                  <c:v>250.31964600000001</c:v>
                </c:pt>
                <c:pt idx="4">
                  <c:v>250.39658299999999</c:v>
                </c:pt>
                <c:pt idx="5">
                  <c:v>249.70680300000001</c:v>
                </c:pt>
                <c:pt idx="6">
                  <c:v>249.54989700000002</c:v>
                </c:pt>
                <c:pt idx="7">
                  <c:v>249.817092</c:v>
                </c:pt>
                <c:pt idx="8">
                  <c:v>249.96452300000001</c:v>
                </c:pt>
                <c:pt idx="9">
                  <c:v>250.09755200000004</c:v>
                </c:pt>
                <c:pt idx="10">
                  <c:v>250.326089</c:v>
                </c:pt>
                <c:pt idx="11">
                  <c:v>250.050556</c:v>
                </c:pt>
                <c:pt idx="12">
                  <c:v>250.09755200000004</c:v>
                </c:pt>
                <c:pt idx="13">
                  <c:v>250.30183299999999</c:v>
                </c:pt>
                <c:pt idx="14">
                  <c:v>250.050556</c:v>
                </c:pt>
                <c:pt idx="15">
                  <c:v>250.24915200000001</c:v>
                </c:pt>
                <c:pt idx="16">
                  <c:v>250.094899</c:v>
                </c:pt>
                <c:pt idx="17">
                  <c:v>250.06798999999998</c:v>
                </c:pt>
                <c:pt idx="18">
                  <c:v>250.06798999999998</c:v>
                </c:pt>
                <c:pt idx="19">
                  <c:v>249.60333599999998</c:v>
                </c:pt>
                <c:pt idx="20">
                  <c:v>249.52715699999999</c:v>
                </c:pt>
                <c:pt idx="21">
                  <c:v>249.59120799999999</c:v>
                </c:pt>
                <c:pt idx="22">
                  <c:v>249.54989700000002</c:v>
                </c:pt>
                <c:pt idx="23">
                  <c:v>249.18643600000001</c:v>
                </c:pt>
                <c:pt idx="24">
                  <c:v>249.01436999999999</c:v>
                </c:pt>
                <c:pt idx="25">
                  <c:v>248.98442900000003</c:v>
                </c:pt>
                <c:pt idx="26">
                  <c:v>248.93440099999998</c:v>
                </c:pt>
                <c:pt idx="27">
                  <c:v>248.62627400000002</c:v>
                </c:pt>
                <c:pt idx="28">
                  <c:v>248.55199000000002</c:v>
                </c:pt>
                <c:pt idx="29">
                  <c:v>248.62627400000002</c:v>
                </c:pt>
                <c:pt idx="30">
                  <c:v>248.34770900000001</c:v>
                </c:pt>
                <c:pt idx="31">
                  <c:v>248.18511799999999</c:v>
                </c:pt>
                <c:pt idx="32">
                  <c:v>248.46936800000003</c:v>
                </c:pt>
                <c:pt idx="33">
                  <c:v>247.86562100000003</c:v>
                </c:pt>
                <c:pt idx="34">
                  <c:v>247.657929</c:v>
                </c:pt>
                <c:pt idx="35">
                  <c:v>248.084304</c:v>
                </c:pt>
                <c:pt idx="36">
                  <c:v>247.41233700000001</c:v>
                </c:pt>
                <c:pt idx="37">
                  <c:v>247.22928000000002</c:v>
                </c:pt>
                <c:pt idx="38">
                  <c:v>246.65395800000002</c:v>
                </c:pt>
                <c:pt idx="39">
                  <c:v>246.20143200000004</c:v>
                </c:pt>
                <c:pt idx="40">
                  <c:v>245.79286999999999</c:v>
                </c:pt>
                <c:pt idx="41">
                  <c:v>245.47602600000002</c:v>
                </c:pt>
                <c:pt idx="42">
                  <c:v>244.608495</c:v>
                </c:pt>
                <c:pt idx="43">
                  <c:v>244.10215100000002</c:v>
                </c:pt>
                <c:pt idx="44">
                  <c:v>243.50712100000001</c:v>
                </c:pt>
                <c:pt idx="45">
                  <c:v>243.02124300000003</c:v>
                </c:pt>
                <c:pt idx="46">
                  <c:v>242.126803</c:v>
                </c:pt>
                <c:pt idx="47">
                  <c:v>241.751214</c:v>
                </c:pt>
                <c:pt idx="48">
                  <c:v>241.13837100000003</c:v>
                </c:pt>
                <c:pt idx="49">
                  <c:v>240.493313</c:v>
                </c:pt>
                <c:pt idx="50">
                  <c:v>240.036618</c:v>
                </c:pt>
                <c:pt idx="51">
                  <c:v>239.55983599999999</c:v>
                </c:pt>
                <c:pt idx="52">
                  <c:v>239.352902</c:v>
                </c:pt>
                <c:pt idx="53">
                  <c:v>238.381146</c:v>
                </c:pt>
                <c:pt idx="54">
                  <c:v>238.201121</c:v>
                </c:pt>
                <c:pt idx="55">
                  <c:v>237.42796100000004</c:v>
                </c:pt>
                <c:pt idx="56">
                  <c:v>237.31880899999999</c:v>
                </c:pt>
                <c:pt idx="57">
                  <c:v>236.53086800000003</c:v>
                </c:pt>
                <c:pt idx="58">
                  <c:v>236.308774</c:v>
                </c:pt>
                <c:pt idx="59">
                  <c:v>235.86496499999998</c:v>
                </c:pt>
                <c:pt idx="60">
                  <c:v>235.29911799999999</c:v>
                </c:pt>
                <c:pt idx="61">
                  <c:v>235.239994</c:v>
                </c:pt>
                <c:pt idx="62">
                  <c:v>234.97658899999999</c:v>
                </c:pt>
                <c:pt idx="63">
                  <c:v>234.63321500000001</c:v>
                </c:pt>
                <c:pt idx="64">
                  <c:v>234.375495</c:v>
                </c:pt>
                <c:pt idx="65">
                  <c:v>234.14733699999999</c:v>
                </c:pt>
                <c:pt idx="66">
                  <c:v>233.79183499999999</c:v>
                </c:pt>
                <c:pt idx="67">
                  <c:v>233.51061700000002</c:v>
                </c:pt>
                <c:pt idx="68">
                  <c:v>233.16155800000001</c:v>
                </c:pt>
                <c:pt idx="69">
                  <c:v>232.79468599999998</c:v>
                </c:pt>
                <c:pt idx="70">
                  <c:v>232.427435</c:v>
                </c:pt>
                <c:pt idx="71">
                  <c:v>231.86158800000001</c:v>
                </c:pt>
                <c:pt idx="72">
                  <c:v>231.92071199999998</c:v>
                </c:pt>
                <c:pt idx="73">
                  <c:v>231.36396100000002</c:v>
                </c:pt>
                <c:pt idx="74">
                  <c:v>230.50817900000001</c:v>
                </c:pt>
                <c:pt idx="75">
                  <c:v>230.07081300000002</c:v>
                </c:pt>
                <c:pt idx="76">
                  <c:v>229.82181</c:v>
                </c:pt>
                <c:pt idx="77">
                  <c:v>229.19039600000002</c:v>
                </c:pt>
                <c:pt idx="78">
                  <c:v>228.29633500000003</c:v>
                </c:pt>
                <c:pt idx="79">
                  <c:v>227.65999400000004</c:v>
                </c:pt>
                <c:pt idx="80">
                  <c:v>226.76328000000001</c:v>
                </c:pt>
                <c:pt idx="81">
                  <c:v>226.44908900000001</c:v>
                </c:pt>
                <c:pt idx="82">
                  <c:v>225.52281299999999</c:v>
                </c:pt>
                <c:pt idx="83">
                  <c:v>224.96265100000002</c:v>
                </c:pt>
                <c:pt idx="84">
                  <c:v>224.01174</c:v>
                </c:pt>
                <c:pt idx="85">
                  <c:v>223.496679</c:v>
                </c:pt>
                <c:pt idx="86">
                  <c:v>222.76558800000001</c:v>
                </c:pt>
                <c:pt idx="87">
                  <c:v>222.335802</c:v>
                </c:pt>
                <c:pt idx="88">
                  <c:v>221.50124400000001</c:v>
                </c:pt>
                <c:pt idx="89">
                  <c:v>221.04568600000002</c:v>
                </c:pt>
                <c:pt idx="90">
                  <c:v>220.361591</c:v>
                </c:pt>
                <c:pt idx="91">
                  <c:v>219.94128000000001</c:v>
                </c:pt>
                <c:pt idx="92">
                  <c:v>219.05214600000002</c:v>
                </c:pt>
                <c:pt idx="93">
                  <c:v>218.91911700000003</c:v>
                </c:pt>
                <c:pt idx="94">
                  <c:v>218.27405899999999</c:v>
                </c:pt>
                <c:pt idx="95">
                  <c:v>217.859433</c:v>
                </c:pt>
                <c:pt idx="96">
                  <c:v>217.61080899999999</c:v>
                </c:pt>
                <c:pt idx="97">
                  <c:v>216.837649</c:v>
                </c:pt>
                <c:pt idx="98">
                  <c:v>216.716748</c:v>
                </c:pt>
                <c:pt idx="99">
                  <c:v>216.56590600000001</c:v>
                </c:pt>
                <c:pt idx="100">
                  <c:v>215.98755199999999</c:v>
                </c:pt>
                <c:pt idx="101">
                  <c:v>215.66502300000002</c:v>
                </c:pt>
                <c:pt idx="102">
                  <c:v>215.22955200000001</c:v>
                </c:pt>
                <c:pt idx="103">
                  <c:v>215.004805</c:v>
                </c:pt>
                <c:pt idx="104">
                  <c:v>214.39499400000003</c:v>
                </c:pt>
                <c:pt idx="105">
                  <c:v>214.24112000000002</c:v>
                </c:pt>
                <c:pt idx="106">
                  <c:v>213.903052</c:v>
                </c:pt>
                <c:pt idx="107">
                  <c:v>213.59265100000002</c:v>
                </c:pt>
                <c:pt idx="108">
                  <c:v>213.06508300000002</c:v>
                </c:pt>
                <c:pt idx="109">
                  <c:v>212.713371</c:v>
                </c:pt>
                <c:pt idx="110">
                  <c:v>212.14487099999999</c:v>
                </c:pt>
                <c:pt idx="111">
                  <c:v>211.94021100000001</c:v>
                </c:pt>
                <c:pt idx="112">
                  <c:v>211.17614700000001</c:v>
                </c:pt>
                <c:pt idx="113">
                  <c:v>210.880527</c:v>
                </c:pt>
                <c:pt idx="114">
                  <c:v>209.92999500000002</c:v>
                </c:pt>
                <c:pt idx="115">
                  <c:v>209.33761800000002</c:v>
                </c:pt>
                <c:pt idx="116">
                  <c:v>208.701277</c:v>
                </c:pt>
                <c:pt idx="117">
                  <c:v>207.94593</c:v>
                </c:pt>
                <c:pt idx="118">
                  <c:v>207.03708800000001</c:v>
                </c:pt>
                <c:pt idx="119">
                  <c:v>206.29083700000001</c:v>
                </c:pt>
                <c:pt idx="120">
                  <c:v>205.55936700000001</c:v>
                </c:pt>
                <c:pt idx="121">
                  <c:v>205.006406</c:v>
                </c:pt>
                <c:pt idx="122">
                  <c:v>204.23286700000003</c:v>
                </c:pt>
                <c:pt idx="123">
                  <c:v>203.78034099999999</c:v>
                </c:pt>
                <c:pt idx="124">
                  <c:v>202.59558700000002</c:v>
                </c:pt>
                <c:pt idx="125">
                  <c:v>202.39737</c:v>
                </c:pt>
                <c:pt idx="126">
                  <c:v>201.754965</c:v>
                </c:pt>
                <c:pt idx="127">
                  <c:v>200.988248</c:v>
                </c:pt>
                <c:pt idx="128">
                  <c:v>200.49668500000001</c:v>
                </c:pt>
                <c:pt idx="129">
                  <c:v>199.83305600000003</c:v>
                </c:pt>
                <c:pt idx="130">
                  <c:v>199.40706</c:v>
                </c:pt>
                <c:pt idx="131">
                  <c:v>198.968557</c:v>
                </c:pt>
                <c:pt idx="132">
                  <c:v>198.438715</c:v>
                </c:pt>
                <c:pt idx="133">
                  <c:v>197.78115000000003</c:v>
                </c:pt>
                <c:pt idx="134">
                  <c:v>197.33393000000001</c:v>
                </c:pt>
                <c:pt idx="135">
                  <c:v>196.77452600000001</c:v>
                </c:pt>
                <c:pt idx="136">
                  <c:v>196.28940600000001</c:v>
                </c:pt>
                <c:pt idx="137">
                  <c:v>195.942621</c:v>
                </c:pt>
                <c:pt idx="138">
                  <c:v>195.69361800000001</c:v>
                </c:pt>
                <c:pt idx="139">
                  <c:v>195.11374800000002</c:v>
                </c:pt>
                <c:pt idx="140">
                  <c:v>194.60096100000001</c:v>
                </c:pt>
                <c:pt idx="141">
                  <c:v>194.20149500000002</c:v>
                </c:pt>
                <c:pt idx="142">
                  <c:v>193.95893500000003</c:v>
                </c:pt>
                <c:pt idx="143">
                  <c:v>193.51436800000002</c:v>
                </c:pt>
                <c:pt idx="144">
                  <c:v>193.244899</c:v>
                </c:pt>
                <c:pt idx="145">
                  <c:v>192.94586800000002</c:v>
                </c:pt>
                <c:pt idx="146">
                  <c:v>192.898493</c:v>
                </c:pt>
                <c:pt idx="147">
                  <c:v>192.19696400000001</c:v>
                </c:pt>
                <c:pt idx="148">
                  <c:v>192.250024</c:v>
                </c:pt>
                <c:pt idx="149">
                  <c:v>191.894901</c:v>
                </c:pt>
                <c:pt idx="150">
                  <c:v>191.305556</c:v>
                </c:pt>
                <c:pt idx="151">
                  <c:v>191.22899799999999</c:v>
                </c:pt>
                <c:pt idx="152">
                  <c:v>190.64533800000001</c:v>
                </c:pt>
                <c:pt idx="153">
                  <c:v>189.970339</c:v>
                </c:pt>
                <c:pt idx="154">
                  <c:v>190.34630700000002</c:v>
                </c:pt>
                <c:pt idx="155">
                  <c:v>189.54661700000003</c:v>
                </c:pt>
                <c:pt idx="156">
                  <c:v>189.783871</c:v>
                </c:pt>
                <c:pt idx="157">
                  <c:v>189.42874800000001</c:v>
                </c:pt>
                <c:pt idx="158">
                  <c:v>189.19452600000002</c:v>
                </c:pt>
                <c:pt idx="159">
                  <c:v>188.86024800000001</c:v>
                </c:pt>
                <c:pt idx="160">
                  <c:v>188.86024800000001</c:v>
                </c:pt>
                <c:pt idx="161">
                  <c:v>188.42174500000002</c:v>
                </c:pt>
                <c:pt idx="162">
                  <c:v>187.959744</c:v>
                </c:pt>
                <c:pt idx="163">
                  <c:v>187.85324500000002</c:v>
                </c:pt>
                <c:pt idx="164">
                  <c:v>187.959744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4-49C5-9874-B98962445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26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</a:t>
            </a:r>
            <a:r>
              <a:rPr lang="en-US"/>
              <a:t>/Ar</a:t>
            </a:r>
            <a:r>
              <a:rPr lang="en-US" baseline="0"/>
              <a:t> normalized</a:t>
            </a:r>
            <a:r>
              <a:rPr lang="en-US"/>
              <a:t> -</a:t>
            </a:r>
            <a:r>
              <a:rPr lang="en-US" baseline="0"/>
              <a:t> calibrated</a:t>
            </a:r>
            <a:endParaRPr lang="cs-CZ"/>
          </a:p>
        </c:rich>
      </c:tx>
      <c:layout>
        <c:manualLayout>
          <c:xMode val="edge"/>
          <c:yMode val="edge"/>
          <c:x val="0.238101106926851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335729772908822"/>
          <c:y val="0.24976444219859603"/>
          <c:w val="0.68643980372018709"/>
          <c:h val="0.54014610151175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Sheet1!$M$2:$M$166</c:f>
              <c:numCache>
                <c:formatCode>0.00</c:formatCode>
                <c:ptCount val="165"/>
                <c:pt idx="1">
                  <c:v>237.55681738837933</c:v>
                </c:pt>
                <c:pt idx="2">
                  <c:v>310.87836901031113</c:v>
                </c:pt>
                <c:pt idx="3">
                  <c:v>251.71915744810681</c:v>
                </c:pt>
                <c:pt idx="4">
                  <c:v>251.9898850846229</c:v>
                </c:pt>
                <c:pt idx="5">
                  <c:v>249.78311220875554</c:v>
                </c:pt>
                <c:pt idx="6">
                  <c:v>254.0544923830989</c:v>
                </c:pt>
                <c:pt idx="7">
                  <c:v>251.57472440654064</c:v>
                </c:pt>
                <c:pt idx="8">
                  <c:v>251.80075019648146</c:v>
                </c:pt>
                <c:pt idx="9">
                  <c:v>254.09714230159483</c:v>
                </c:pt>
                <c:pt idx="10">
                  <c:v>253.88863904557073</c:v>
                </c:pt>
                <c:pt idx="11">
                  <c:v>254.77356219319552</c:v>
                </c:pt>
                <c:pt idx="12">
                  <c:v>251.93455407774621</c:v>
                </c:pt>
                <c:pt idx="13">
                  <c:v>253.72936573124272</c:v>
                </c:pt>
                <c:pt idx="14">
                  <c:v>254.06840125075377</c:v>
                </c:pt>
                <c:pt idx="15">
                  <c:v>253.37716907589572</c:v>
                </c:pt>
                <c:pt idx="16">
                  <c:v>253.91898016302872</c:v>
                </c:pt>
                <c:pt idx="17">
                  <c:v>253.49524835231688</c:v>
                </c:pt>
                <c:pt idx="18">
                  <c:v>252.36762028587577</c:v>
                </c:pt>
                <c:pt idx="19">
                  <c:v>251.9562031973075</c:v>
                </c:pt>
                <c:pt idx="20">
                  <c:v>252.36270365124966</c:v>
                </c:pt>
                <c:pt idx="21">
                  <c:v>252.36015765165939</c:v>
                </c:pt>
                <c:pt idx="22">
                  <c:v>251.59073661228999</c:v>
                </c:pt>
                <c:pt idx="23">
                  <c:v>253.45704464973056</c:v>
                </c:pt>
                <c:pt idx="24">
                  <c:v>254.44461980880737</c:v>
                </c:pt>
                <c:pt idx="25">
                  <c:v>251.09831506849318</c:v>
                </c:pt>
                <c:pt idx="26">
                  <c:v>251.58002826065709</c:v>
                </c:pt>
                <c:pt idx="27">
                  <c:v>253.45544482058915</c:v>
                </c:pt>
                <c:pt idx="28">
                  <c:v>253.40050379517928</c:v>
                </c:pt>
                <c:pt idx="29">
                  <c:v>253.17233690950701</c:v>
                </c:pt>
                <c:pt idx="30">
                  <c:v>252.11020080419155</c:v>
                </c:pt>
                <c:pt idx="31">
                  <c:v>253.4327936387964</c:v>
                </c:pt>
                <c:pt idx="32">
                  <c:v>248.3541740111375</c:v>
                </c:pt>
                <c:pt idx="33">
                  <c:v>252.67861803572885</c:v>
                </c:pt>
                <c:pt idx="34">
                  <c:v>251.91751162254369</c:v>
                </c:pt>
                <c:pt idx="35">
                  <c:v>253.34121753119626</c:v>
                </c:pt>
                <c:pt idx="36">
                  <c:v>252.01422993482828</c:v>
                </c:pt>
                <c:pt idx="37">
                  <c:v>253.0760202149481</c:v>
                </c:pt>
                <c:pt idx="38">
                  <c:v>252.74764024598562</c:v>
                </c:pt>
                <c:pt idx="39">
                  <c:v>251.03845225783863</c:v>
                </c:pt>
                <c:pt idx="40">
                  <c:v>253.36849461275409</c:v>
                </c:pt>
                <c:pt idx="41">
                  <c:v>252.52339095495654</c:v>
                </c:pt>
                <c:pt idx="42">
                  <c:v>251.31684612011821</c:v>
                </c:pt>
                <c:pt idx="43">
                  <c:v>249.14260018783943</c:v>
                </c:pt>
                <c:pt idx="44">
                  <c:v>250.69970057528866</c:v>
                </c:pt>
                <c:pt idx="45">
                  <c:v>249.60393343104082</c:v>
                </c:pt>
                <c:pt idx="46">
                  <c:v>250.13942372180813</c:v>
                </c:pt>
                <c:pt idx="47">
                  <c:v>247.58174292621132</c:v>
                </c:pt>
                <c:pt idx="48">
                  <c:v>248.37303719029549</c:v>
                </c:pt>
                <c:pt idx="49">
                  <c:v>245.07714108509748</c:v>
                </c:pt>
                <c:pt idx="50">
                  <c:v>246.35341552353609</c:v>
                </c:pt>
                <c:pt idx="51">
                  <c:v>247.33914891002399</c:v>
                </c:pt>
                <c:pt idx="52">
                  <c:v>246.38458264838616</c:v>
                </c:pt>
                <c:pt idx="53">
                  <c:v>243.00405028191176</c:v>
                </c:pt>
                <c:pt idx="54">
                  <c:v>244.66512732558738</c:v>
                </c:pt>
                <c:pt idx="55">
                  <c:v>244.80023643938461</c:v>
                </c:pt>
                <c:pt idx="56">
                  <c:v>243.21644352116331</c:v>
                </c:pt>
                <c:pt idx="57">
                  <c:v>243.75610162853022</c:v>
                </c:pt>
                <c:pt idx="58">
                  <c:v>244.26022121252848</c:v>
                </c:pt>
                <c:pt idx="59">
                  <c:v>242.45452604523643</c:v>
                </c:pt>
                <c:pt idx="60">
                  <c:v>241.86053946322335</c:v>
                </c:pt>
                <c:pt idx="61">
                  <c:v>241.46391708358712</c:v>
                </c:pt>
                <c:pt idx="62">
                  <c:v>243.04538167422996</c:v>
                </c:pt>
                <c:pt idx="63">
                  <c:v>243.38486605064855</c:v>
                </c:pt>
                <c:pt idx="64">
                  <c:v>241.93742487438914</c:v>
                </c:pt>
                <c:pt idx="65">
                  <c:v>242.14310741559243</c:v>
                </c:pt>
                <c:pt idx="66">
                  <c:v>241.18649999999994</c:v>
                </c:pt>
                <c:pt idx="67">
                  <c:v>242.07660512609604</c:v>
                </c:pt>
                <c:pt idx="68">
                  <c:v>241.26255532864644</c:v>
                </c:pt>
                <c:pt idx="69">
                  <c:v>241.52259063223099</c:v>
                </c:pt>
                <c:pt idx="70">
                  <c:v>240.4278514990792</c:v>
                </c:pt>
                <c:pt idx="71">
                  <c:v>240.25027898662114</c:v>
                </c:pt>
                <c:pt idx="72">
                  <c:v>240.85724582541343</c:v>
                </c:pt>
                <c:pt idx="73">
                  <c:v>237.5551247193165</c:v>
                </c:pt>
                <c:pt idx="74">
                  <c:v>237.72351084546116</c:v>
                </c:pt>
                <c:pt idx="75">
                  <c:v>237.85134807962723</c:v>
                </c:pt>
                <c:pt idx="76">
                  <c:v>236.7417033932355</c:v>
                </c:pt>
                <c:pt idx="77">
                  <c:v>237.94066161939537</c:v>
                </c:pt>
                <c:pt idx="78">
                  <c:v>236.72232530220435</c:v>
                </c:pt>
                <c:pt idx="79">
                  <c:v>238.22689398040913</c:v>
                </c:pt>
                <c:pt idx="80">
                  <c:v>235.66319417758268</c:v>
                </c:pt>
                <c:pt idx="81">
                  <c:v>235.15146771050053</c:v>
                </c:pt>
                <c:pt idx="82">
                  <c:v>234.61353055477522</c:v>
                </c:pt>
                <c:pt idx="83">
                  <c:v>233.28663758676956</c:v>
                </c:pt>
                <c:pt idx="84">
                  <c:v>232.16094273237331</c:v>
                </c:pt>
                <c:pt idx="85">
                  <c:v>233.23074261372923</c:v>
                </c:pt>
                <c:pt idx="86">
                  <c:v>232.7897880848455</c:v>
                </c:pt>
                <c:pt idx="87">
                  <c:v>230.95678505734389</c:v>
                </c:pt>
                <c:pt idx="88">
                  <c:v>231.97504376499009</c:v>
                </c:pt>
                <c:pt idx="89">
                  <c:v>228.24761368791712</c:v>
                </c:pt>
                <c:pt idx="90">
                  <c:v>230.64181876384694</c:v>
                </c:pt>
                <c:pt idx="91">
                  <c:v>229.12901201564114</c:v>
                </c:pt>
                <c:pt idx="92">
                  <c:v>228.27091410130822</c:v>
                </c:pt>
                <c:pt idx="93">
                  <c:v>229.06590419635788</c:v>
                </c:pt>
                <c:pt idx="94">
                  <c:v>226.96634684681561</c:v>
                </c:pt>
                <c:pt idx="95">
                  <c:v>227.51303591830484</c:v>
                </c:pt>
                <c:pt idx="96">
                  <c:v>226.78411106170404</c:v>
                </c:pt>
                <c:pt idx="97">
                  <c:v>226.05514535623189</c:v>
                </c:pt>
                <c:pt idx="98">
                  <c:v>225.10325942981393</c:v>
                </c:pt>
                <c:pt idx="99">
                  <c:v>227.46711825585223</c:v>
                </c:pt>
                <c:pt idx="100">
                  <c:v>224.44430348848084</c:v>
                </c:pt>
                <c:pt idx="101">
                  <c:v>226.22155924866607</c:v>
                </c:pt>
                <c:pt idx="102">
                  <c:v>226.50210803036467</c:v>
                </c:pt>
                <c:pt idx="103">
                  <c:v>224.6676909605149</c:v>
                </c:pt>
                <c:pt idx="104">
                  <c:v>225.40398268780578</c:v>
                </c:pt>
                <c:pt idx="105">
                  <c:v>223.53550265888072</c:v>
                </c:pt>
                <c:pt idx="106">
                  <c:v>224.34519875680851</c:v>
                </c:pt>
                <c:pt idx="107">
                  <c:v>221.40166774007415</c:v>
                </c:pt>
                <c:pt idx="108">
                  <c:v>223.23530105889583</c:v>
                </c:pt>
                <c:pt idx="109">
                  <c:v>224.78531561891273</c:v>
                </c:pt>
                <c:pt idx="110">
                  <c:v>222.58147913016413</c:v>
                </c:pt>
                <c:pt idx="111">
                  <c:v>222.73870440899313</c:v>
                </c:pt>
                <c:pt idx="112">
                  <c:v>220.98880944374875</c:v>
                </c:pt>
                <c:pt idx="113">
                  <c:v>220.62536613451061</c:v>
                </c:pt>
                <c:pt idx="114">
                  <c:v>219.45361023303786</c:v>
                </c:pt>
                <c:pt idx="115">
                  <c:v>219.04842224454421</c:v>
                </c:pt>
                <c:pt idx="116">
                  <c:v>220.92113146566933</c:v>
                </c:pt>
                <c:pt idx="117">
                  <c:v>219.26272077657347</c:v>
                </c:pt>
                <c:pt idx="118">
                  <c:v>216.3369051413685</c:v>
                </c:pt>
                <c:pt idx="119">
                  <c:v>217.24127793806909</c:v>
                </c:pt>
                <c:pt idx="120">
                  <c:v>217.63736180581779</c:v>
                </c:pt>
                <c:pt idx="121">
                  <c:v>214.39584542586749</c:v>
                </c:pt>
                <c:pt idx="122">
                  <c:v>214.39022745021202</c:v>
                </c:pt>
                <c:pt idx="123">
                  <c:v>212.57580954334628</c:v>
                </c:pt>
                <c:pt idx="124">
                  <c:v>213.76742529127736</c:v>
                </c:pt>
                <c:pt idx="125">
                  <c:v>212.9632534000126</c:v>
                </c:pt>
                <c:pt idx="126">
                  <c:v>210.72409338132653</c:v>
                </c:pt>
                <c:pt idx="127">
                  <c:v>211.06216434208912</c:v>
                </c:pt>
                <c:pt idx="128">
                  <c:v>210.77710149157508</c:v>
                </c:pt>
                <c:pt idx="129">
                  <c:v>210.40366022143073</c:v>
                </c:pt>
                <c:pt idx="130">
                  <c:v>210.21342926609887</c:v>
                </c:pt>
                <c:pt idx="131">
                  <c:v>209.59518051532675</c:v>
                </c:pt>
                <c:pt idx="132">
                  <c:v>210.15369421178397</c:v>
                </c:pt>
                <c:pt idx="133">
                  <c:v>208.87399560029564</c:v>
                </c:pt>
                <c:pt idx="134">
                  <c:v>207.92761683037233</c:v>
                </c:pt>
                <c:pt idx="135">
                  <c:v>207.97618458400697</c:v>
                </c:pt>
                <c:pt idx="136">
                  <c:v>206.57884104046241</c:v>
                </c:pt>
                <c:pt idx="137">
                  <c:v>207.65526081673883</c:v>
                </c:pt>
                <c:pt idx="138">
                  <c:v>207.8580716164409</c:v>
                </c:pt>
                <c:pt idx="139">
                  <c:v>204.85963307882344</c:v>
                </c:pt>
                <c:pt idx="140">
                  <c:v>205.65359024823192</c:v>
                </c:pt>
                <c:pt idx="141">
                  <c:v>205.62187836550339</c:v>
                </c:pt>
                <c:pt idx="142">
                  <c:v>205.8828236438633</c:v>
                </c:pt>
                <c:pt idx="143">
                  <c:v>206.56275776850475</c:v>
                </c:pt>
                <c:pt idx="144">
                  <c:v>206.14294526528346</c:v>
                </c:pt>
                <c:pt idx="145">
                  <c:v>204.50715977618898</c:v>
                </c:pt>
                <c:pt idx="146">
                  <c:v>205.42359114720122</c:v>
                </c:pt>
                <c:pt idx="147">
                  <c:v>204.64819359131312</c:v>
                </c:pt>
                <c:pt idx="148">
                  <c:v>204.34853382265422</c:v>
                </c:pt>
                <c:pt idx="149">
                  <c:v>202.31839403309172</c:v>
                </c:pt>
                <c:pt idx="150">
                  <c:v>203.26019624950428</c:v>
                </c:pt>
                <c:pt idx="151">
                  <c:v>204.62668795155801</c:v>
                </c:pt>
                <c:pt idx="152">
                  <c:v>202.44827664453661</c:v>
                </c:pt>
                <c:pt idx="153">
                  <c:v>200.47219842869146</c:v>
                </c:pt>
                <c:pt idx="154">
                  <c:v>202.02054551917576</c:v>
                </c:pt>
                <c:pt idx="155">
                  <c:v>202.24075689370099</c:v>
                </c:pt>
                <c:pt idx="156">
                  <c:v>202.34230508625129</c:v>
                </c:pt>
                <c:pt idx="157">
                  <c:v>200.17142205052716</c:v>
                </c:pt>
                <c:pt idx="158">
                  <c:v>203.47199965951651</c:v>
                </c:pt>
                <c:pt idx="159">
                  <c:v>199.33881948518805</c:v>
                </c:pt>
                <c:pt idx="160">
                  <c:v>201.19295905963548</c:v>
                </c:pt>
                <c:pt idx="161">
                  <c:v>199.55990179122912</c:v>
                </c:pt>
                <c:pt idx="162">
                  <c:v>200.42483827271045</c:v>
                </c:pt>
                <c:pt idx="163">
                  <c:v>201.7568723389025</c:v>
                </c:pt>
                <c:pt idx="164">
                  <c:v>201.01485966512939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7-4ECD-9720-5CD7FBB7D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26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</a:t>
            </a:r>
            <a:r>
              <a:rPr lang="en-US"/>
              <a:t>/Ar/Ar</a:t>
            </a:r>
            <a:r>
              <a:rPr lang="en-US" baseline="0"/>
              <a:t> 26s</a:t>
            </a:r>
            <a:r>
              <a:rPr lang="en-US"/>
              <a:t> -</a:t>
            </a:r>
            <a:r>
              <a:rPr lang="en-US" baseline="0"/>
              <a:t> calibrated</a:t>
            </a:r>
            <a:endParaRPr lang="cs-CZ"/>
          </a:p>
        </c:rich>
      </c:tx>
      <c:layout>
        <c:manualLayout>
          <c:xMode val="edge"/>
          <c:yMode val="edge"/>
          <c:x val="0.290014378637452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335729772908822"/>
          <c:y val="0.24976444219859603"/>
          <c:w val="0.68643980372018709"/>
          <c:h val="0.54014610151175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Sheet1!$N$2:$N$166</c:f>
              <c:numCache>
                <c:formatCode>0.00</c:formatCode>
                <c:ptCount val="165"/>
                <c:pt idx="1">
                  <c:v>237.06851973995126</c:v>
                </c:pt>
                <c:pt idx="2">
                  <c:v>311.44277504171595</c:v>
                </c:pt>
                <c:pt idx="3">
                  <c:v>251.43419356943843</c:v>
                </c:pt>
                <c:pt idx="4">
                  <c:v>251.70880813923526</c:v>
                </c:pt>
                <c:pt idx="5">
                  <c:v>249.47035183775023</c:v>
                </c:pt>
                <c:pt idx="6">
                  <c:v>253.80305774140558</c:v>
                </c:pt>
                <c:pt idx="7">
                  <c:v>251.28768685115668</c:v>
                </c:pt>
                <c:pt idx="8">
                  <c:v>251.51695777401608</c:v>
                </c:pt>
                <c:pt idx="9">
                  <c:v>253.84632000000002</c:v>
                </c:pt>
                <c:pt idx="10">
                  <c:v>253.63482318832931</c:v>
                </c:pt>
                <c:pt idx="11">
                  <c:v>254.53245149335007</c:v>
                </c:pt>
                <c:pt idx="12">
                  <c:v>251.65268272534914</c:v>
                </c:pt>
                <c:pt idx="13">
                  <c:v>253.47326313019434</c:v>
                </c:pt>
                <c:pt idx="14">
                  <c:v>253.81716630363641</c:v>
                </c:pt>
                <c:pt idx="15">
                  <c:v>253.11600986179283</c:v>
                </c:pt>
                <c:pt idx="16">
                  <c:v>253.66559992403725</c:v>
                </c:pt>
                <c:pt idx="17">
                  <c:v>253.23578444451951</c:v>
                </c:pt>
                <c:pt idx="18">
                  <c:v>252.09196661955906</c:v>
                </c:pt>
                <c:pt idx="19">
                  <c:v>251.67464266904497</c:v>
                </c:pt>
                <c:pt idx="20">
                  <c:v>252.08697939505521</c:v>
                </c:pt>
                <c:pt idx="21">
                  <c:v>252.0843968416404</c:v>
                </c:pt>
                <c:pt idx="22">
                  <c:v>251.30392894985761</c:v>
                </c:pt>
                <c:pt idx="23">
                  <c:v>253.19703223774306</c:v>
                </c:pt>
                <c:pt idx="24">
                  <c:v>254.19878636577337</c:v>
                </c:pt>
                <c:pt idx="25">
                  <c:v>250.8044375342466</c:v>
                </c:pt>
                <c:pt idx="26">
                  <c:v>251.29306685459923</c:v>
                </c:pt>
                <c:pt idx="27">
                  <c:v>253.19540943928379</c:v>
                </c:pt>
                <c:pt idx="28">
                  <c:v>253.13967960596759</c:v>
                </c:pt>
                <c:pt idx="29">
                  <c:v>252.9082368469013</c:v>
                </c:pt>
                <c:pt idx="30">
                  <c:v>251.83085127452176</c:v>
                </c:pt>
                <c:pt idx="31">
                  <c:v>253.17243304639143</c:v>
                </c:pt>
                <c:pt idx="32">
                  <c:v>248.02089786454363</c:v>
                </c:pt>
                <c:pt idx="33">
                  <c:v>252.40742947507957</c:v>
                </c:pt>
                <c:pt idx="34">
                  <c:v>251.63539558553609</c:v>
                </c:pt>
                <c:pt idx="35">
                  <c:v>253.07954214793759</c:v>
                </c:pt>
                <c:pt idx="36">
                  <c:v>251.73350251714191</c:v>
                </c:pt>
                <c:pt idx="37">
                  <c:v>252.81053729919014</c:v>
                </c:pt>
                <c:pt idx="38">
                  <c:v>252.47744266183813</c:v>
                </c:pt>
                <c:pt idx="39">
                  <c:v>250.74371525185876</c:v>
                </c:pt>
                <c:pt idx="40">
                  <c:v>253.10721085628856</c:v>
                </c:pt>
                <c:pt idx="41">
                  <c:v>252.24997374371921</c:v>
                </c:pt>
                <c:pt idx="42">
                  <c:v>251.02610611415787</c:v>
                </c:pt>
                <c:pt idx="43">
                  <c:v>248.8206437571971</c:v>
                </c:pt>
                <c:pt idx="44">
                  <c:v>250.40009999052626</c:v>
                </c:pt>
                <c:pt idx="45">
                  <c:v>249.28860052638785</c:v>
                </c:pt>
                <c:pt idx="46">
                  <c:v>249.83177904233773</c:v>
                </c:pt>
                <c:pt idx="47">
                  <c:v>247.23737671090595</c:v>
                </c:pt>
                <c:pt idx="48">
                  <c:v>248.04003186909566</c:v>
                </c:pt>
                <c:pt idx="49">
                  <c:v>244.69681540744665</c:v>
                </c:pt>
                <c:pt idx="50">
                  <c:v>245.99141377340868</c:v>
                </c:pt>
                <c:pt idx="51">
                  <c:v>246.99129968586382</c:v>
                </c:pt>
                <c:pt idx="52">
                  <c:v>246.02302837579145</c:v>
                </c:pt>
                <c:pt idx="53">
                  <c:v>242.59396049986233</c:v>
                </c:pt>
                <c:pt idx="54">
                  <c:v>244.27888621937313</c:v>
                </c:pt>
                <c:pt idx="55">
                  <c:v>244.41593514292785</c:v>
                </c:pt>
                <c:pt idx="56">
                  <c:v>242.80940314463774</c:v>
                </c:pt>
                <c:pt idx="57">
                  <c:v>243.35680931601735</c:v>
                </c:pt>
                <c:pt idx="58">
                  <c:v>243.86816672476709</c:v>
                </c:pt>
                <c:pt idx="59">
                  <c:v>242.03654654763534</c:v>
                </c:pt>
                <c:pt idx="60">
                  <c:v>241.43403188831311</c:v>
                </c:pt>
                <c:pt idx="61">
                  <c:v>241.03171505964642</c:v>
                </c:pt>
                <c:pt idx="62">
                  <c:v>242.63588530172834</c:v>
                </c:pt>
                <c:pt idx="63">
                  <c:v>242.98024377647675</c:v>
                </c:pt>
                <c:pt idx="64">
                  <c:v>241.51202117076195</c:v>
                </c:pt>
                <c:pt idx="65">
                  <c:v>241.72065676960258</c:v>
                </c:pt>
                <c:pt idx="66">
                  <c:v>240.75031499999997</c:v>
                </c:pt>
                <c:pt idx="67">
                  <c:v>241.65319968300602</c:v>
                </c:pt>
                <c:pt idx="68">
                  <c:v>240.82746228213847</c:v>
                </c:pt>
                <c:pt idx="69">
                  <c:v>241.09123100536459</c:v>
                </c:pt>
                <c:pt idx="70">
                  <c:v>239.98077431184433</c:v>
                </c:pt>
                <c:pt idx="71">
                  <c:v>239.80065232746202</c:v>
                </c:pt>
                <c:pt idx="72">
                  <c:v>240.41633360574178</c:v>
                </c:pt>
                <c:pt idx="73">
                  <c:v>237.06680276863466</c:v>
                </c:pt>
                <c:pt idx="74">
                  <c:v>237.2376064744773</c:v>
                </c:pt>
                <c:pt idx="75">
                  <c:v>237.36727911343021</c:v>
                </c:pt>
                <c:pt idx="76">
                  <c:v>236.24170286232342</c:v>
                </c:pt>
                <c:pt idx="77">
                  <c:v>237.45787495955838</c:v>
                </c:pt>
                <c:pt idx="78">
                  <c:v>236.22204655312473</c:v>
                </c:pt>
                <c:pt idx="79">
                  <c:v>237.74821686071505</c:v>
                </c:pt>
                <c:pt idx="80">
                  <c:v>235.147709105019</c:v>
                </c:pt>
                <c:pt idx="81">
                  <c:v>234.62863559845053</c:v>
                </c:pt>
                <c:pt idx="82">
                  <c:v>234.0829750870293</c:v>
                </c:pt>
                <c:pt idx="83">
                  <c:v>232.73703144320916</c:v>
                </c:pt>
                <c:pt idx="84">
                  <c:v>231.5951745861087</c:v>
                </c:pt>
                <c:pt idx="85">
                  <c:v>232.68033396609601</c:v>
                </c:pt>
                <c:pt idx="86">
                  <c:v>232.23304849569604</c:v>
                </c:pt>
                <c:pt idx="87">
                  <c:v>230.37372838966149</c:v>
                </c:pt>
                <c:pt idx="88">
                  <c:v>231.4066066009168</c:v>
                </c:pt>
                <c:pt idx="89">
                  <c:v>227.62566048017516</c:v>
                </c:pt>
                <c:pt idx="90">
                  <c:v>230.05424001269995</c:v>
                </c:pt>
                <c:pt idx="91">
                  <c:v>228.51971335819809</c:v>
                </c:pt>
                <c:pt idx="92">
                  <c:v>227.64929542591548</c:v>
                </c:pt>
                <c:pt idx="93">
                  <c:v>228.45569947743468</c:v>
                </c:pt>
                <c:pt idx="94">
                  <c:v>226.32599803384377</c:v>
                </c:pt>
                <c:pt idx="95">
                  <c:v>226.88053611540644</c:v>
                </c:pt>
                <c:pt idx="96">
                  <c:v>226.14114582453851</c:v>
                </c:pt>
                <c:pt idx="97">
                  <c:v>225.40171409831737</c:v>
                </c:pt>
                <c:pt idx="98">
                  <c:v>224.4361616059941</c:v>
                </c:pt>
                <c:pt idx="99">
                  <c:v>226.83395919668928</c:v>
                </c:pt>
                <c:pt idx="100">
                  <c:v>223.76774479907724</c:v>
                </c:pt>
                <c:pt idx="101">
                  <c:v>225.5705172543864</c:v>
                </c:pt>
                <c:pt idx="102">
                  <c:v>225.8550939750516</c:v>
                </c:pt>
                <c:pt idx="103">
                  <c:v>223.99433952475823</c:v>
                </c:pt>
                <c:pt idx="104">
                  <c:v>224.74120245510744</c:v>
                </c:pt>
                <c:pt idx="105">
                  <c:v>222.84589599168078</c:v>
                </c:pt>
                <c:pt idx="106">
                  <c:v>223.66721718540893</c:v>
                </c:pt>
                <c:pt idx="107">
                  <c:v>220.68142484353243</c:v>
                </c:pt>
                <c:pt idx="108">
                  <c:v>222.54138429020452</c:v>
                </c:pt>
                <c:pt idx="109">
                  <c:v>224.11365296234848</c:v>
                </c:pt>
                <c:pt idx="110">
                  <c:v>221.87817520673991</c:v>
                </c:pt>
                <c:pt idx="111">
                  <c:v>222.03765782499949</c:v>
                </c:pt>
                <c:pt idx="112">
                  <c:v>220.26263899332722</c:v>
                </c:pt>
                <c:pt idx="113">
                  <c:v>219.89397759881155</c:v>
                </c:pt>
                <c:pt idx="114">
                  <c:v>218.70539837974579</c:v>
                </c:pt>
                <c:pt idx="115">
                  <c:v>218.29439296271886</c:v>
                </c:pt>
                <c:pt idx="116">
                  <c:v>220.19398933836709</c:v>
                </c:pt>
                <c:pt idx="117">
                  <c:v>218.51176825524021</c:v>
                </c:pt>
                <c:pt idx="118">
                  <c:v>215.54394564094707</c:v>
                </c:pt>
                <c:pt idx="119">
                  <c:v>216.46130284059561</c:v>
                </c:pt>
                <c:pt idx="120">
                  <c:v>216.86307342576745</c:v>
                </c:pt>
                <c:pt idx="121">
                  <c:v>213.57501743848579</c:v>
                </c:pt>
                <c:pt idx="122">
                  <c:v>213.56931880354921</c:v>
                </c:pt>
                <c:pt idx="123">
                  <c:v>211.7288506513591</c:v>
                </c:pt>
                <c:pt idx="124">
                  <c:v>212.93757485178531</c:v>
                </c:pt>
                <c:pt idx="125">
                  <c:v>212.1218571777265</c:v>
                </c:pt>
                <c:pt idx="126">
                  <c:v>209.85054873965669</c:v>
                </c:pt>
                <c:pt idx="127">
                  <c:v>210.19347350583624</c:v>
                </c:pt>
                <c:pt idx="128">
                  <c:v>209.90431790625888</c:v>
                </c:pt>
                <c:pt idx="129">
                  <c:v>209.52551500654465</c:v>
                </c:pt>
                <c:pt idx="130">
                  <c:v>209.33255283750736</c:v>
                </c:pt>
                <c:pt idx="131">
                  <c:v>208.70542766881184</c:v>
                </c:pt>
                <c:pt idx="132">
                  <c:v>209.27196014570251</c:v>
                </c:pt>
                <c:pt idx="133">
                  <c:v>207.97388844461651</c:v>
                </c:pt>
                <c:pt idx="134">
                  <c:v>207.01392217699876</c:v>
                </c:pt>
                <c:pt idx="135">
                  <c:v>207.06318723520272</c:v>
                </c:pt>
                <c:pt idx="136">
                  <c:v>205.6457815317919</c:v>
                </c:pt>
                <c:pt idx="137">
                  <c:v>206.73765585089325</c:v>
                </c:pt>
                <c:pt idx="138">
                  <c:v>206.94337847761525</c:v>
                </c:pt>
                <c:pt idx="139">
                  <c:v>203.90189028798579</c:v>
                </c:pt>
                <c:pt idx="140">
                  <c:v>204.7072465837818</c:v>
                </c:pt>
                <c:pt idx="141">
                  <c:v>204.67507940223723</c:v>
                </c:pt>
                <c:pt idx="142">
                  <c:v>204.93977116507122</c:v>
                </c:pt>
                <c:pt idx="143">
                  <c:v>205.62946734655981</c:v>
                </c:pt>
                <c:pt idx="144">
                  <c:v>205.20362744542882</c:v>
                </c:pt>
                <c:pt idx="145">
                  <c:v>203.54435640037303</c:v>
                </c:pt>
                <c:pt idx="146">
                  <c:v>204.47394530358744</c:v>
                </c:pt>
                <c:pt idx="147">
                  <c:v>203.68741508830576</c:v>
                </c:pt>
                <c:pt idx="148">
                  <c:v>203.38345299742113</c:v>
                </c:pt>
                <c:pt idx="149">
                  <c:v>201.32416576648876</c:v>
                </c:pt>
                <c:pt idx="150">
                  <c:v>202.27948977338397</c:v>
                </c:pt>
                <c:pt idx="151">
                  <c:v>203.66560068440683</c:v>
                </c:pt>
                <c:pt idx="152">
                  <c:v>201.45591314893198</c:v>
                </c:pt>
                <c:pt idx="153">
                  <c:v>199.45146367302152</c:v>
                </c:pt>
                <c:pt idx="154">
                  <c:v>201.02204093517776</c:v>
                </c:pt>
                <c:pt idx="155">
                  <c:v>201.24541396298468</c:v>
                </c:pt>
                <c:pt idx="156">
                  <c:v>201.34842011917073</c:v>
                </c:pt>
                <c:pt idx="157">
                  <c:v>199.14636894107039</c:v>
                </c:pt>
                <c:pt idx="158">
                  <c:v>202.49433412053116</c:v>
                </c:pt>
                <c:pt idx="159">
                  <c:v>198.30181240360469</c:v>
                </c:pt>
                <c:pt idx="160">
                  <c:v>200.18257252153171</c:v>
                </c:pt>
                <c:pt idx="161">
                  <c:v>198.52606886720199</c:v>
                </c:pt>
                <c:pt idx="162">
                  <c:v>199.40342355038163</c:v>
                </c:pt>
                <c:pt idx="163">
                  <c:v>200.75458210496927</c:v>
                </c:pt>
                <c:pt idx="164">
                  <c:v>200.0019160904678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3-4E45-8818-9E735C8C1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26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O2</a:t>
            </a:r>
            <a:r>
              <a:rPr lang="en-US"/>
              <a:t>/Ar/Ar</a:t>
            </a:r>
            <a:r>
              <a:rPr lang="en-US" baseline="0"/>
              <a:t> initial - calibrated</a:t>
            </a:r>
            <a:endParaRPr lang="cs-CZ"/>
          </a:p>
        </c:rich>
      </c:tx>
      <c:layout>
        <c:manualLayout>
          <c:xMode val="edge"/>
          <c:yMode val="edge"/>
          <c:x val="0.290014378637452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2335729772908822"/>
          <c:y val="0.24976444219859603"/>
          <c:w val="0.68643980372018709"/>
          <c:h val="0.54014610151175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Sheet1!$O$2:$O$166</c:f>
              <c:numCache>
                <c:formatCode>0.00</c:formatCode>
                <c:ptCount val="165"/>
                <c:pt idx="1">
                  <c:v>235.16182000000001</c:v>
                </c:pt>
                <c:pt idx="2">
                  <c:v>308.9475777943062</c:v>
                </c:pt>
                <c:pt idx="3">
                  <c:v>249.41382326959638</c:v>
                </c:pt>
                <c:pt idx="4">
                  <c:v>249.68626491020976</c:v>
                </c:pt>
                <c:pt idx="5">
                  <c:v>247.46552073167155</c:v>
                </c:pt>
                <c:pt idx="6">
                  <c:v>251.76394344668174</c:v>
                </c:pt>
                <c:pt idx="7">
                  <c:v>249.26847580780984</c:v>
                </c:pt>
                <c:pt idx="8">
                  <c:v>249.49593258992806</c:v>
                </c:pt>
                <c:pt idx="9">
                  <c:v>251.80686338613302</c:v>
                </c:pt>
                <c:pt idx="10">
                  <c:v>251.59704007486911</c:v>
                </c:pt>
                <c:pt idx="11">
                  <c:v>252.4875657606033</c:v>
                </c:pt>
                <c:pt idx="12">
                  <c:v>249.63058359712235</c:v>
                </c:pt>
                <c:pt idx="13">
                  <c:v>251.4367583850503</c:v>
                </c:pt>
                <c:pt idx="14">
                  <c:v>251.77794037278693</c:v>
                </c:pt>
                <c:pt idx="15">
                  <c:v>251.0823319369932</c:v>
                </c:pt>
                <c:pt idx="16">
                  <c:v>251.62757328501593</c:v>
                </c:pt>
                <c:pt idx="17">
                  <c:v>251.2011587852773</c:v>
                </c:pt>
                <c:pt idx="18">
                  <c:v>250.06639159129452</c:v>
                </c:pt>
                <c:pt idx="19">
                  <c:v>249.65236977945307</c:v>
                </c:pt>
                <c:pt idx="20">
                  <c:v>250.06144382895644</c:v>
                </c:pt>
                <c:pt idx="21">
                  <c:v>250.05888171038481</c:v>
                </c:pt>
                <c:pt idx="22">
                  <c:v>249.2845893884562</c:v>
                </c:pt>
                <c:pt idx="23">
                  <c:v>251.16271321117904</c:v>
                </c:pt>
                <c:pt idx="24">
                  <c:v>252.1565408086507</c:v>
                </c:pt>
                <c:pt idx="25">
                  <c:v>248.78905027397263</c:v>
                </c:pt>
                <c:pt idx="26">
                  <c:v>249.27381324116408</c:v>
                </c:pt>
                <c:pt idx="27">
                  <c:v>251.16110325335731</c:v>
                </c:pt>
                <c:pt idx="28">
                  <c:v>251.1058143907488</c:v>
                </c:pt>
                <c:pt idx="29">
                  <c:v>250.87620295740507</c:v>
                </c:pt>
                <c:pt idx="30">
                  <c:v>249.80734236078962</c:v>
                </c:pt>
                <c:pt idx="31">
                  <c:v>251.13830866463749</c:v>
                </c:pt>
                <c:pt idx="32">
                  <c:v>246.02753578154213</c:v>
                </c:pt>
                <c:pt idx="33">
                  <c:v>250.37935829941273</c:v>
                </c:pt>
                <c:pt idx="34">
                  <c:v>249.61343324440912</c:v>
                </c:pt>
                <c:pt idx="35">
                  <c:v>251.04615277942153</c:v>
                </c:pt>
                <c:pt idx="36">
                  <c:v>249.71076389012848</c:v>
                </c:pt>
                <c:pt idx="37">
                  <c:v>250.77927647209395</c:v>
                </c:pt>
                <c:pt idx="38">
                  <c:v>250.44881749627606</c:v>
                </c:pt>
                <c:pt idx="39">
                  <c:v>248.72880846579847</c:v>
                </c:pt>
                <c:pt idx="40">
                  <c:v>251.07360255494649</c:v>
                </c:pt>
                <c:pt idx="41">
                  <c:v>250.22314846026418</c:v>
                </c:pt>
                <c:pt idx="42">
                  <c:v>249.00896486782744</c:v>
                </c:pt>
                <c:pt idx="43">
                  <c:v>246.82095356425336</c:v>
                </c:pt>
                <c:pt idx="44">
                  <c:v>248.3879121120234</c:v>
                </c:pt>
                <c:pt idx="45">
                  <c:v>247.28520755496046</c:v>
                </c:pt>
                <c:pt idx="46">
                  <c:v>247.82408808901533</c:v>
                </c:pt>
                <c:pt idx="47">
                  <c:v>245.25021435715334</c:v>
                </c:pt>
                <c:pt idx="48">
                  <c:v>246.0465183853986</c:v>
                </c:pt>
                <c:pt idx="49">
                  <c:v>242.72975562801318</c:v>
                </c:pt>
                <c:pt idx="50">
                  <c:v>244.01411028923573</c:v>
                </c:pt>
                <c:pt idx="51">
                  <c:v>245.00608445366953</c:v>
                </c:pt>
                <c:pt idx="52">
                  <c:v>244.04547473631109</c:v>
                </c:pt>
                <c:pt idx="53">
                  <c:v>240.64353987690362</c:v>
                </c:pt>
                <c:pt idx="54">
                  <c:v>242.3151333676457</c:v>
                </c:pt>
                <c:pt idx="55">
                  <c:v>242.45109787093182</c:v>
                </c:pt>
                <c:pt idx="56">
                  <c:v>240.85727779927291</c:v>
                </c:pt>
                <c:pt idx="57">
                  <c:v>241.40035253679659</c:v>
                </c:pt>
                <c:pt idx="58">
                  <c:v>241.90766375295928</c:v>
                </c:pt>
                <c:pt idx="59">
                  <c:v>240.09053654660724</c:v>
                </c:pt>
                <c:pt idx="60">
                  <c:v>239.49278937535976</c:v>
                </c:pt>
                <c:pt idx="61">
                  <c:v>239.09365593925165</c:v>
                </c:pt>
                <c:pt idx="62">
                  <c:v>240.68513294245437</c:v>
                </c:pt>
                <c:pt idx="63">
                  <c:v>241.02676662885713</c:v>
                </c:pt>
                <c:pt idx="64">
                  <c:v>239.57016155585382</c:v>
                </c:pt>
                <c:pt idx="65">
                  <c:v>239.77714629406552</c:v>
                </c:pt>
                <c:pt idx="66">
                  <c:v>238.8144825</c:v>
                </c:pt>
                <c:pt idx="67">
                  <c:v>239.71022297183623</c:v>
                </c:pt>
                <c:pt idx="68">
                  <c:v>238.89101934263815</c:v>
                </c:pt>
                <c:pt idx="69">
                  <c:v>239.15270095607693</c:v>
                </c:pt>
                <c:pt idx="70">
                  <c:v>238.05103091855241</c:v>
                </c:pt>
                <c:pt idx="71">
                  <c:v>237.87233417652607</c:v>
                </c:pt>
                <c:pt idx="72">
                  <c:v>238.4831437838736</c:v>
                </c:pt>
                <c:pt idx="73">
                  <c:v>235.1601166144778</c:v>
                </c:pt>
                <c:pt idx="74">
                  <c:v>235.32956881024828</c:v>
                </c:pt>
                <c:pt idx="75">
                  <c:v>235.45821539489648</c:v>
                </c:pt>
                <c:pt idx="76">
                  <c:v>234.34154543556426</c:v>
                </c:pt>
                <c:pt idx="77">
                  <c:v>235.54809438773427</c:v>
                </c:pt>
                <c:pt idx="78">
                  <c:v>234.32204465987536</c:v>
                </c:pt>
                <c:pt idx="79">
                  <c:v>235.83613891482713</c:v>
                </c:pt>
                <c:pt idx="80">
                  <c:v>233.25620806879087</c:v>
                </c:pt>
                <c:pt idx="81">
                  <c:v>232.74124180959669</c:v>
                </c:pt>
                <c:pt idx="82">
                  <c:v>232.19989891923385</c:v>
                </c:pt>
                <c:pt idx="83">
                  <c:v>230.86460525740483</c:v>
                </c:pt>
                <c:pt idx="84">
                  <c:v>229.73178351482824</c:v>
                </c:pt>
                <c:pt idx="85">
                  <c:v>230.80835640762683</c:v>
                </c:pt>
                <c:pt idx="86">
                  <c:v>230.3646101509425</c:v>
                </c:pt>
                <c:pt idx="87">
                  <c:v>228.52000219555103</c:v>
                </c:pt>
                <c:pt idx="88">
                  <c:v>229.54470760224692</c:v>
                </c:pt>
                <c:pt idx="89">
                  <c:v>225.79367878768687</c:v>
                </c:pt>
                <c:pt idx="90">
                  <c:v>228.20304181853706</c:v>
                </c:pt>
                <c:pt idx="91">
                  <c:v>226.6806573375284</c:v>
                </c:pt>
                <c:pt idx="92">
                  <c:v>225.81712671835598</c:v>
                </c:pt>
                <c:pt idx="93">
                  <c:v>226.61714997624702</c:v>
                </c:pt>
                <c:pt idx="94">
                  <c:v>224.50430011639432</c:v>
                </c:pt>
                <c:pt idx="95">
                  <c:v>225.05445033178657</c:v>
                </c:pt>
                <c:pt idx="96">
                  <c:v>224.32091057806284</c:v>
                </c:pt>
                <c:pt idx="97">
                  <c:v>223.58732971684933</c:v>
                </c:pt>
                <c:pt idx="98">
                  <c:v>222.62941730418467</c:v>
                </c:pt>
                <c:pt idx="99">
                  <c:v>225.00824195996051</c:v>
                </c:pt>
                <c:pt idx="100">
                  <c:v>221.96628944602048</c:v>
                </c:pt>
                <c:pt idx="101">
                  <c:v>223.75479719249788</c:v>
                </c:pt>
                <c:pt idx="102">
                  <c:v>224.03712215695907</c:v>
                </c:pt>
                <c:pt idx="103">
                  <c:v>222.19109120677402</c:v>
                </c:pt>
                <c:pt idx="104">
                  <c:v>222.9320444715926</c:v>
                </c:pt>
                <c:pt idx="105">
                  <c:v>221.05173490628707</c:v>
                </c:pt>
                <c:pt idx="106">
                  <c:v>221.86655727225056</c:v>
                </c:pt>
                <c:pt idx="107">
                  <c:v>218.90439046240598</c:v>
                </c:pt>
                <c:pt idx="108">
                  <c:v>220.74963269955578</c:v>
                </c:pt>
                <c:pt idx="109">
                  <c:v>222.3094605588021</c:v>
                </c:pt>
                <c:pt idx="110">
                  <c:v>220.09167135794701</c:v>
                </c:pt>
                <c:pt idx="111">
                  <c:v>220.24989204594658</c:v>
                </c:pt>
                <c:pt idx="112">
                  <c:v>218.48891831837508</c:v>
                </c:pt>
                <c:pt idx="113">
                  <c:v>218.12317401272153</c:v>
                </c:pt>
                <c:pt idx="114">
                  <c:v>216.94399960591238</c:v>
                </c:pt>
                <c:pt idx="115">
                  <c:v>216.53624633120927</c:v>
                </c:pt>
                <c:pt idx="116">
                  <c:v>218.42081186415922</c:v>
                </c:pt>
                <c:pt idx="117">
                  <c:v>216.75190160895787</c:v>
                </c:pt>
                <c:pt idx="118">
                  <c:v>213.80756233851815</c:v>
                </c:pt>
                <c:pt idx="119">
                  <c:v>214.71766081102714</c:v>
                </c:pt>
                <c:pt idx="120">
                  <c:v>215.1162523258744</c:v>
                </c:pt>
                <c:pt idx="121">
                  <c:v>211.85421357728706</c:v>
                </c:pt>
                <c:pt idx="122">
                  <c:v>211.84856003365852</c:v>
                </c:pt>
                <c:pt idx="123">
                  <c:v>210.0226548631847</c:v>
                </c:pt>
                <c:pt idx="124">
                  <c:v>211.22181485115229</c:v>
                </c:pt>
                <c:pt idx="125">
                  <c:v>210.41255166616401</c:v>
                </c:pt>
                <c:pt idx="126">
                  <c:v>208.15921529852434</c:v>
                </c:pt>
                <c:pt idx="127">
                  <c:v>208.49942662079346</c:v>
                </c:pt>
                <c:pt idx="128">
                  <c:v>208.21255900848979</c:v>
                </c:pt>
                <c:pt idx="129">
                  <c:v>207.83675344382644</c:v>
                </c:pt>
                <c:pt idx="130">
                  <c:v>207.64531811704191</c:v>
                </c:pt>
                <c:pt idx="131">
                  <c:v>207.02315517078668</c:v>
                </c:pt>
                <c:pt idx="132">
                  <c:v>207.5852048740457</c:v>
                </c:pt>
                <c:pt idx="133">
                  <c:v>206.29740436098695</c:v>
                </c:pt>
                <c:pt idx="134">
                  <c:v>205.34503397118269</c:v>
                </c:pt>
                <c:pt idx="135">
                  <c:v>205.39390921218654</c:v>
                </c:pt>
                <c:pt idx="136">
                  <c:v>203.98771894508667</c:v>
                </c:pt>
                <c:pt idx="137">
                  <c:v>205.07095364403131</c:v>
                </c:pt>
                <c:pt idx="138">
                  <c:v>205.27504845945538</c:v>
                </c:pt>
                <c:pt idx="139">
                  <c:v>202.2576265036497</c:v>
                </c:pt>
                <c:pt idx="140">
                  <c:v>203.05661029634274</c:v>
                </c:pt>
                <c:pt idx="141">
                  <c:v>203.02469764247152</c:v>
                </c:pt>
                <c:pt idx="142">
                  <c:v>203.28729499182819</c:v>
                </c:pt>
                <c:pt idx="143">
                  <c:v>203.97153384830469</c:v>
                </c:pt>
                <c:pt idx="144">
                  <c:v>203.54906346958947</c:v>
                </c:pt>
                <c:pt idx="145">
                  <c:v>201.90292165682314</c:v>
                </c:pt>
                <c:pt idx="146">
                  <c:v>202.82515504769952</c:v>
                </c:pt>
                <c:pt idx="147">
                  <c:v>202.0448483713206</c:v>
                </c:pt>
                <c:pt idx="148">
                  <c:v>201.7432914263043</c:v>
                </c:pt>
                <c:pt idx="149">
                  <c:v>199.70029861603712</c:v>
                </c:pt>
                <c:pt idx="150">
                  <c:v>200.64806347770664</c:v>
                </c:pt>
                <c:pt idx="151">
                  <c:v>202.02320657718118</c:v>
                </c:pt>
                <c:pt idx="152">
                  <c:v>199.83100352745493</c:v>
                </c:pt>
                <c:pt idx="153">
                  <c:v>197.84241456020595</c:v>
                </c:pt>
                <c:pt idx="154">
                  <c:v>199.40056439300105</c:v>
                </c:pt>
                <c:pt idx="155">
                  <c:v>199.62216994805055</c:v>
                </c:pt>
                <c:pt idx="156">
                  <c:v>199.72436105249693</c:v>
                </c:pt>
                <c:pt idx="157">
                  <c:v>197.53973393631634</c:v>
                </c:pt>
                <c:pt idx="158">
                  <c:v>200.86120783656793</c:v>
                </c:pt>
                <c:pt idx="159">
                  <c:v>196.70186007977546</c:v>
                </c:pt>
                <c:pt idx="160">
                  <c:v>198.56773839973306</c:v>
                </c:pt>
                <c:pt idx="161">
                  <c:v>196.9243420802965</c:v>
                </c:pt>
                <c:pt idx="162">
                  <c:v>197.79475456227877</c:v>
                </c:pt>
                <c:pt idx="163">
                  <c:v>199.13522187110772</c:v>
                </c:pt>
                <c:pt idx="164">
                  <c:v>198.38851143991502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1-47D9-A16B-7C7377581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2"/>
      </c:valAx>
      <c:valAx>
        <c:axId val="446440936"/>
        <c:scaling>
          <c:orientation val="minMax"/>
          <c:max val="26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dO2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Comparison of </a:t>
            </a:r>
            <a:r>
              <a:rPr lang="en-US" sz="1400">
                <a:solidFill>
                  <a:sysClr val="windowText" lastClr="000000"/>
                </a:solidFill>
              </a:rPr>
              <a:t>M</a:t>
            </a:r>
            <a:r>
              <a:rPr lang="en-US">
                <a:solidFill>
                  <a:sysClr val="windowText" lastClr="000000"/>
                </a:solidFill>
              </a:rPr>
              <a:t>IMS dO</a:t>
            </a:r>
            <a:r>
              <a:rPr lang="en-US" baseline="-25000">
                <a:solidFill>
                  <a:sysClr val="windowText" lastClr="000000"/>
                </a:solidFill>
              </a:rPr>
              <a:t>2</a:t>
            </a:r>
            <a:r>
              <a:rPr lang="en-US">
                <a:solidFill>
                  <a:sysClr val="windowText" lastClr="000000"/>
                </a:solidFill>
              </a:rPr>
              <a:t> signal clibrations</a:t>
            </a:r>
            <a:endParaRPr lang="cs-CZ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573959223828364"/>
          <c:y val="3.768618969932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5509420305422481"/>
          <c:y val="0.16464540513088738"/>
          <c:w val="0.78143548850286859"/>
          <c:h val="0.681139575985698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O2 raw (umol/L)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Sheet1!$L$2:$L$166</c:f>
              <c:numCache>
                <c:formatCode>0.00</c:formatCode>
                <c:ptCount val="165"/>
                <c:pt idx="1">
                  <c:v>266.10461700000002</c:v>
                </c:pt>
                <c:pt idx="2">
                  <c:v>250.70812100000001</c:v>
                </c:pt>
                <c:pt idx="3">
                  <c:v>250.31964600000001</c:v>
                </c:pt>
                <c:pt idx="4">
                  <c:v>250.39658299999999</c:v>
                </c:pt>
                <c:pt idx="5">
                  <c:v>249.70680300000001</c:v>
                </c:pt>
                <c:pt idx="6">
                  <c:v>249.54989700000002</c:v>
                </c:pt>
                <c:pt idx="7">
                  <c:v>249.817092</c:v>
                </c:pt>
                <c:pt idx="8">
                  <c:v>249.96452300000001</c:v>
                </c:pt>
                <c:pt idx="9">
                  <c:v>250.09755200000004</c:v>
                </c:pt>
                <c:pt idx="10">
                  <c:v>250.326089</c:v>
                </c:pt>
                <c:pt idx="11">
                  <c:v>250.050556</c:v>
                </c:pt>
                <c:pt idx="12">
                  <c:v>250.09755200000004</c:v>
                </c:pt>
                <c:pt idx="13">
                  <c:v>250.30183299999999</c:v>
                </c:pt>
                <c:pt idx="14">
                  <c:v>250.050556</c:v>
                </c:pt>
                <c:pt idx="15">
                  <c:v>250.24915200000001</c:v>
                </c:pt>
                <c:pt idx="16">
                  <c:v>250.094899</c:v>
                </c:pt>
                <c:pt idx="17">
                  <c:v>250.06798999999998</c:v>
                </c:pt>
                <c:pt idx="18">
                  <c:v>250.06798999999998</c:v>
                </c:pt>
                <c:pt idx="19">
                  <c:v>249.60333599999998</c:v>
                </c:pt>
                <c:pt idx="20">
                  <c:v>249.52715699999999</c:v>
                </c:pt>
                <c:pt idx="21">
                  <c:v>249.59120799999999</c:v>
                </c:pt>
                <c:pt idx="22">
                  <c:v>249.54989700000002</c:v>
                </c:pt>
                <c:pt idx="23">
                  <c:v>249.18643600000001</c:v>
                </c:pt>
                <c:pt idx="24">
                  <c:v>249.01436999999999</c:v>
                </c:pt>
                <c:pt idx="25">
                  <c:v>248.98442900000003</c:v>
                </c:pt>
                <c:pt idx="26">
                  <c:v>248.93440099999998</c:v>
                </c:pt>
                <c:pt idx="27">
                  <c:v>248.62627400000002</c:v>
                </c:pt>
                <c:pt idx="28">
                  <c:v>248.55199000000002</c:v>
                </c:pt>
                <c:pt idx="29">
                  <c:v>248.62627400000002</c:v>
                </c:pt>
                <c:pt idx="30">
                  <c:v>248.34770900000001</c:v>
                </c:pt>
                <c:pt idx="31">
                  <c:v>248.18511799999999</c:v>
                </c:pt>
                <c:pt idx="32">
                  <c:v>248.46936800000003</c:v>
                </c:pt>
                <c:pt idx="33">
                  <c:v>247.86562100000003</c:v>
                </c:pt>
                <c:pt idx="34">
                  <c:v>247.657929</c:v>
                </c:pt>
                <c:pt idx="35">
                  <c:v>248.084304</c:v>
                </c:pt>
                <c:pt idx="36">
                  <c:v>247.41233700000001</c:v>
                </c:pt>
                <c:pt idx="37">
                  <c:v>247.22928000000002</c:v>
                </c:pt>
                <c:pt idx="38">
                  <c:v>246.65395800000002</c:v>
                </c:pt>
                <c:pt idx="39">
                  <c:v>246.20143200000004</c:v>
                </c:pt>
                <c:pt idx="40">
                  <c:v>245.79286999999999</c:v>
                </c:pt>
                <c:pt idx="41">
                  <c:v>245.47602600000002</c:v>
                </c:pt>
                <c:pt idx="42">
                  <c:v>244.608495</c:v>
                </c:pt>
                <c:pt idx="43">
                  <c:v>244.10215100000002</c:v>
                </c:pt>
                <c:pt idx="44">
                  <c:v>243.50712100000001</c:v>
                </c:pt>
                <c:pt idx="45">
                  <c:v>243.02124300000003</c:v>
                </c:pt>
                <c:pt idx="46">
                  <c:v>242.126803</c:v>
                </c:pt>
                <c:pt idx="47">
                  <c:v>241.751214</c:v>
                </c:pt>
                <c:pt idx="48">
                  <c:v>241.13837100000003</c:v>
                </c:pt>
                <c:pt idx="49">
                  <c:v>240.493313</c:v>
                </c:pt>
                <c:pt idx="50">
                  <c:v>240.036618</c:v>
                </c:pt>
                <c:pt idx="51">
                  <c:v>239.55983599999999</c:v>
                </c:pt>
                <c:pt idx="52">
                  <c:v>239.352902</c:v>
                </c:pt>
                <c:pt idx="53">
                  <c:v>238.381146</c:v>
                </c:pt>
                <c:pt idx="54">
                  <c:v>238.201121</c:v>
                </c:pt>
                <c:pt idx="55">
                  <c:v>237.42796100000004</c:v>
                </c:pt>
                <c:pt idx="56">
                  <c:v>237.31880899999999</c:v>
                </c:pt>
                <c:pt idx="57">
                  <c:v>236.53086800000003</c:v>
                </c:pt>
                <c:pt idx="58">
                  <c:v>236.308774</c:v>
                </c:pt>
                <c:pt idx="59">
                  <c:v>235.86496499999998</c:v>
                </c:pt>
                <c:pt idx="60">
                  <c:v>235.29911799999999</c:v>
                </c:pt>
                <c:pt idx="61">
                  <c:v>235.239994</c:v>
                </c:pt>
                <c:pt idx="62">
                  <c:v>234.97658899999999</c:v>
                </c:pt>
                <c:pt idx="63">
                  <c:v>234.63321500000001</c:v>
                </c:pt>
                <c:pt idx="64">
                  <c:v>234.375495</c:v>
                </c:pt>
                <c:pt idx="65">
                  <c:v>234.14733699999999</c:v>
                </c:pt>
                <c:pt idx="66">
                  <c:v>233.79183499999999</c:v>
                </c:pt>
                <c:pt idx="67">
                  <c:v>233.51061700000002</c:v>
                </c:pt>
                <c:pt idx="68">
                  <c:v>233.16155800000001</c:v>
                </c:pt>
                <c:pt idx="69">
                  <c:v>232.79468599999998</c:v>
                </c:pt>
                <c:pt idx="70">
                  <c:v>232.427435</c:v>
                </c:pt>
                <c:pt idx="71">
                  <c:v>231.86158800000001</c:v>
                </c:pt>
                <c:pt idx="72">
                  <c:v>231.92071199999998</c:v>
                </c:pt>
                <c:pt idx="73">
                  <c:v>231.36396100000002</c:v>
                </c:pt>
                <c:pt idx="74">
                  <c:v>230.50817900000001</c:v>
                </c:pt>
                <c:pt idx="75">
                  <c:v>230.07081300000002</c:v>
                </c:pt>
                <c:pt idx="76">
                  <c:v>229.82181</c:v>
                </c:pt>
                <c:pt idx="77">
                  <c:v>229.19039600000002</c:v>
                </c:pt>
                <c:pt idx="78">
                  <c:v>228.29633500000003</c:v>
                </c:pt>
                <c:pt idx="79">
                  <c:v>227.65999400000004</c:v>
                </c:pt>
                <c:pt idx="80">
                  <c:v>226.76328000000001</c:v>
                </c:pt>
                <c:pt idx="81">
                  <c:v>226.44908900000001</c:v>
                </c:pt>
                <c:pt idx="82">
                  <c:v>225.52281299999999</c:v>
                </c:pt>
                <c:pt idx="83">
                  <c:v>224.96265100000002</c:v>
                </c:pt>
                <c:pt idx="84">
                  <c:v>224.01174</c:v>
                </c:pt>
                <c:pt idx="85">
                  <c:v>223.496679</c:v>
                </c:pt>
                <c:pt idx="86">
                  <c:v>222.76558800000001</c:v>
                </c:pt>
                <c:pt idx="87">
                  <c:v>222.335802</c:v>
                </c:pt>
                <c:pt idx="88">
                  <c:v>221.50124400000001</c:v>
                </c:pt>
                <c:pt idx="89">
                  <c:v>221.04568600000002</c:v>
                </c:pt>
                <c:pt idx="90">
                  <c:v>220.361591</c:v>
                </c:pt>
                <c:pt idx="91">
                  <c:v>219.94128000000001</c:v>
                </c:pt>
                <c:pt idx="92">
                  <c:v>219.05214600000002</c:v>
                </c:pt>
                <c:pt idx="93">
                  <c:v>218.91911700000003</c:v>
                </c:pt>
                <c:pt idx="94">
                  <c:v>218.27405899999999</c:v>
                </c:pt>
                <c:pt idx="95">
                  <c:v>217.859433</c:v>
                </c:pt>
                <c:pt idx="96">
                  <c:v>217.61080899999999</c:v>
                </c:pt>
                <c:pt idx="97">
                  <c:v>216.837649</c:v>
                </c:pt>
                <c:pt idx="98">
                  <c:v>216.716748</c:v>
                </c:pt>
                <c:pt idx="99">
                  <c:v>216.56590600000001</c:v>
                </c:pt>
                <c:pt idx="100">
                  <c:v>215.98755199999999</c:v>
                </c:pt>
                <c:pt idx="101">
                  <c:v>215.66502300000002</c:v>
                </c:pt>
                <c:pt idx="102">
                  <c:v>215.22955200000001</c:v>
                </c:pt>
                <c:pt idx="103">
                  <c:v>215.004805</c:v>
                </c:pt>
                <c:pt idx="104">
                  <c:v>214.39499400000003</c:v>
                </c:pt>
                <c:pt idx="105">
                  <c:v>214.24112000000002</c:v>
                </c:pt>
                <c:pt idx="106">
                  <c:v>213.903052</c:v>
                </c:pt>
                <c:pt idx="107">
                  <c:v>213.59265100000002</c:v>
                </c:pt>
                <c:pt idx="108">
                  <c:v>213.06508300000002</c:v>
                </c:pt>
                <c:pt idx="109">
                  <c:v>212.713371</c:v>
                </c:pt>
                <c:pt idx="110">
                  <c:v>212.14487099999999</c:v>
                </c:pt>
                <c:pt idx="111">
                  <c:v>211.94021100000001</c:v>
                </c:pt>
                <c:pt idx="112">
                  <c:v>211.17614700000001</c:v>
                </c:pt>
                <c:pt idx="113">
                  <c:v>210.880527</c:v>
                </c:pt>
                <c:pt idx="114">
                  <c:v>209.92999500000002</c:v>
                </c:pt>
                <c:pt idx="115">
                  <c:v>209.33761800000002</c:v>
                </c:pt>
                <c:pt idx="116">
                  <c:v>208.701277</c:v>
                </c:pt>
                <c:pt idx="117">
                  <c:v>207.94593</c:v>
                </c:pt>
                <c:pt idx="118">
                  <c:v>207.03708800000001</c:v>
                </c:pt>
                <c:pt idx="119">
                  <c:v>206.29083700000001</c:v>
                </c:pt>
                <c:pt idx="120">
                  <c:v>205.55936700000001</c:v>
                </c:pt>
                <c:pt idx="121">
                  <c:v>205.006406</c:v>
                </c:pt>
                <c:pt idx="122">
                  <c:v>204.23286700000003</c:v>
                </c:pt>
                <c:pt idx="123">
                  <c:v>203.78034099999999</c:v>
                </c:pt>
                <c:pt idx="124">
                  <c:v>202.59558700000002</c:v>
                </c:pt>
                <c:pt idx="125">
                  <c:v>202.39737</c:v>
                </c:pt>
                <c:pt idx="126">
                  <c:v>201.754965</c:v>
                </c:pt>
                <c:pt idx="127">
                  <c:v>200.988248</c:v>
                </c:pt>
                <c:pt idx="128">
                  <c:v>200.49668500000001</c:v>
                </c:pt>
                <c:pt idx="129">
                  <c:v>199.83305600000003</c:v>
                </c:pt>
                <c:pt idx="130">
                  <c:v>199.40706</c:v>
                </c:pt>
                <c:pt idx="131">
                  <c:v>198.968557</c:v>
                </c:pt>
                <c:pt idx="132">
                  <c:v>198.438715</c:v>
                </c:pt>
                <c:pt idx="133">
                  <c:v>197.78115000000003</c:v>
                </c:pt>
                <c:pt idx="134">
                  <c:v>197.33393000000001</c:v>
                </c:pt>
                <c:pt idx="135">
                  <c:v>196.77452600000001</c:v>
                </c:pt>
                <c:pt idx="136">
                  <c:v>196.28940600000001</c:v>
                </c:pt>
                <c:pt idx="137">
                  <c:v>195.942621</c:v>
                </c:pt>
                <c:pt idx="138">
                  <c:v>195.69361800000001</c:v>
                </c:pt>
                <c:pt idx="139">
                  <c:v>195.11374800000002</c:v>
                </c:pt>
                <c:pt idx="140">
                  <c:v>194.60096100000001</c:v>
                </c:pt>
                <c:pt idx="141">
                  <c:v>194.20149500000002</c:v>
                </c:pt>
                <c:pt idx="142">
                  <c:v>193.95893500000003</c:v>
                </c:pt>
                <c:pt idx="143">
                  <c:v>193.51436800000002</c:v>
                </c:pt>
                <c:pt idx="144">
                  <c:v>193.244899</c:v>
                </c:pt>
                <c:pt idx="145">
                  <c:v>192.94586800000002</c:v>
                </c:pt>
                <c:pt idx="146">
                  <c:v>192.898493</c:v>
                </c:pt>
                <c:pt idx="147">
                  <c:v>192.19696400000001</c:v>
                </c:pt>
                <c:pt idx="148">
                  <c:v>192.250024</c:v>
                </c:pt>
                <c:pt idx="149">
                  <c:v>191.894901</c:v>
                </c:pt>
                <c:pt idx="150">
                  <c:v>191.305556</c:v>
                </c:pt>
                <c:pt idx="151">
                  <c:v>191.22899799999999</c:v>
                </c:pt>
                <c:pt idx="152">
                  <c:v>190.64533800000001</c:v>
                </c:pt>
                <c:pt idx="153">
                  <c:v>189.970339</c:v>
                </c:pt>
                <c:pt idx="154">
                  <c:v>190.34630700000002</c:v>
                </c:pt>
                <c:pt idx="155">
                  <c:v>189.54661700000003</c:v>
                </c:pt>
                <c:pt idx="156">
                  <c:v>189.783871</c:v>
                </c:pt>
                <c:pt idx="157">
                  <c:v>189.42874800000001</c:v>
                </c:pt>
                <c:pt idx="158">
                  <c:v>189.19452600000002</c:v>
                </c:pt>
                <c:pt idx="159">
                  <c:v>188.86024800000001</c:v>
                </c:pt>
                <c:pt idx="160">
                  <c:v>188.86024800000001</c:v>
                </c:pt>
                <c:pt idx="161">
                  <c:v>188.42174500000002</c:v>
                </c:pt>
                <c:pt idx="162">
                  <c:v>187.959744</c:v>
                </c:pt>
                <c:pt idx="163">
                  <c:v>187.85324500000002</c:v>
                </c:pt>
                <c:pt idx="164">
                  <c:v>187.959744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0-43AF-AA50-3CE157AF407D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O2/Ar (umol/L)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Sheet1!$M$2:$M$166</c:f>
              <c:numCache>
                <c:formatCode>0.00</c:formatCode>
                <c:ptCount val="165"/>
                <c:pt idx="1">
                  <c:v>237.55681738837933</c:v>
                </c:pt>
                <c:pt idx="2">
                  <c:v>310.87836901031113</c:v>
                </c:pt>
                <c:pt idx="3">
                  <c:v>251.71915744810681</c:v>
                </c:pt>
                <c:pt idx="4">
                  <c:v>251.9898850846229</c:v>
                </c:pt>
                <c:pt idx="5">
                  <c:v>249.78311220875554</c:v>
                </c:pt>
                <c:pt idx="6">
                  <c:v>254.0544923830989</c:v>
                </c:pt>
                <c:pt idx="7">
                  <c:v>251.57472440654064</c:v>
                </c:pt>
                <c:pt idx="8">
                  <c:v>251.80075019648146</c:v>
                </c:pt>
                <c:pt idx="9">
                  <c:v>254.09714230159483</c:v>
                </c:pt>
                <c:pt idx="10">
                  <c:v>253.88863904557073</c:v>
                </c:pt>
                <c:pt idx="11">
                  <c:v>254.77356219319552</c:v>
                </c:pt>
                <c:pt idx="12">
                  <c:v>251.93455407774621</c:v>
                </c:pt>
                <c:pt idx="13">
                  <c:v>253.72936573124272</c:v>
                </c:pt>
                <c:pt idx="14">
                  <c:v>254.06840125075377</c:v>
                </c:pt>
                <c:pt idx="15">
                  <c:v>253.37716907589572</c:v>
                </c:pt>
                <c:pt idx="16">
                  <c:v>253.91898016302872</c:v>
                </c:pt>
                <c:pt idx="17">
                  <c:v>253.49524835231688</c:v>
                </c:pt>
                <c:pt idx="18">
                  <c:v>252.36762028587577</c:v>
                </c:pt>
                <c:pt idx="19">
                  <c:v>251.9562031973075</c:v>
                </c:pt>
                <c:pt idx="20">
                  <c:v>252.36270365124966</c:v>
                </c:pt>
                <c:pt idx="21">
                  <c:v>252.36015765165939</c:v>
                </c:pt>
                <c:pt idx="22">
                  <c:v>251.59073661228999</c:v>
                </c:pt>
                <c:pt idx="23">
                  <c:v>253.45704464973056</c:v>
                </c:pt>
                <c:pt idx="24">
                  <c:v>254.44461980880737</c:v>
                </c:pt>
                <c:pt idx="25">
                  <c:v>251.09831506849318</c:v>
                </c:pt>
                <c:pt idx="26">
                  <c:v>251.58002826065709</c:v>
                </c:pt>
                <c:pt idx="27">
                  <c:v>253.45544482058915</c:v>
                </c:pt>
                <c:pt idx="28">
                  <c:v>253.40050379517928</c:v>
                </c:pt>
                <c:pt idx="29">
                  <c:v>253.17233690950701</c:v>
                </c:pt>
                <c:pt idx="30">
                  <c:v>252.11020080419155</c:v>
                </c:pt>
                <c:pt idx="31">
                  <c:v>253.4327936387964</c:v>
                </c:pt>
                <c:pt idx="32">
                  <c:v>248.3541740111375</c:v>
                </c:pt>
                <c:pt idx="33">
                  <c:v>252.67861803572885</c:v>
                </c:pt>
                <c:pt idx="34">
                  <c:v>251.91751162254369</c:v>
                </c:pt>
                <c:pt idx="35">
                  <c:v>253.34121753119626</c:v>
                </c:pt>
                <c:pt idx="36">
                  <c:v>252.01422993482828</c:v>
                </c:pt>
                <c:pt idx="37">
                  <c:v>253.0760202149481</c:v>
                </c:pt>
                <c:pt idx="38">
                  <c:v>252.74764024598562</c:v>
                </c:pt>
                <c:pt idx="39">
                  <c:v>251.03845225783863</c:v>
                </c:pt>
                <c:pt idx="40">
                  <c:v>253.36849461275409</c:v>
                </c:pt>
                <c:pt idx="41">
                  <c:v>252.52339095495654</c:v>
                </c:pt>
                <c:pt idx="42">
                  <c:v>251.31684612011821</c:v>
                </c:pt>
                <c:pt idx="43">
                  <c:v>249.14260018783943</c:v>
                </c:pt>
                <c:pt idx="44">
                  <c:v>250.69970057528866</c:v>
                </c:pt>
                <c:pt idx="45">
                  <c:v>249.60393343104082</c:v>
                </c:pt>
                <c:pt idx="46">
                  <c:v>250.13942372180813</c:v>
                </c:pt>
                <c:pt idx="47">
                  <c:v>247.58174292621132</c:v>
                </c:pt>
                <c:pt idx="48">
                  <c:v>248.37303719029549</c:v>
                </c:pt>
                <c:pt idx="49">
                  <c:v>245.07714108509748</c:v>
                </c:pt>
                <c:pt idx="50">
                  <c:v>246.35341552353609</c:v>
                </c:pt>
                <c:pt idx="51">
                  <c:v>247.33914891002399</c:v>
                </c:pt>
                <c:pt idx="52">
                  <c:v>246.38458264838616</c:v>
                </c:pt>
                <c:pt idx="53">
                  <c:v>243.00405028191176</c:v>
                </c:pt>
                <c:pt idx="54">
                  <c:v>244.66512732558738</c:v>
                </c:pt>
                <c:pt idx="55">
                  <c:v>244.80023643938461</c:v>
                </c:pt>
                <c:pt idx="56">
                  <c:v>243.21644352116331</c:v>
                </c:pt>
                <c:pt idx="57">
                  <c:v>243.75610162853022</c:v>
                </c:pt>
                <c:pt idx="58">
                  <c:v>244.26022121252848</c:v>
                </c:pt>
                <c:pt idx="59">
                  <c:v>242.45452604523643</c:v>
                </c:pt>
                <c:pt idx="60">
                  <c:v>241.86053946322335</c:v>
                </c:pt>
                <c:pt idx="61">
                  <c:v>241.46391708358712</c:v>
                </c:pt>
                <c:pt idx="62">
                  <c:v>243.04538167422996</c:v>
                </c:pt>
                <c:pt idx="63">
                  <c:v>243.38486605064855</c:v>
                </c:pt>
                <c:pt idx="64">
                  <c:v>241.93742487438914</c:v>
                </c:pt>
                <c:pt idx="65">
                  <c:v>242.14310741559243</c:v>
                </c:pt>
                <c:pt idx="66">
                  <c:v>241.18649999999994</c:v>
                </c:pt>
                <c:pt idx="67">
                  <c:v>242.07660512609604</c:v>
                </c:pt>
                <c:pt idx="68">
                  <c:v>241.26255532864644</c:v>
                </c:pt>
                <c:pt idx="69">
                  <c:v>241.52259063223099</c:v>
                </c:pt>
                <c:pt idx="70">
                  <c:v>240.4278514990792</c:v>
                </c:pt>
                <c:pt idx="71">
                  <c:v>240.25027898662114</c:v>
                </c:pt>
                <c:pt idx="72">
                  <c:v>240.85724582541343</c:v>
                </c:pt>
                <c:pt idx="73">
                  <c:v>237.5551247193165</c:v>
                </c:pt>
                <c:pt idx="74">
                  <c:v>237.72351084546116</c:v>
                </c:pt>
                <c:pt idx="75">
                  <c:v>237.85134807962723</c:v>
                </c:pt>
                <c:pt idx="76">
                  <c:v>236.7417033932355</c:v>
                </c:pt>
                <c:pt idx="77">
                  <c:v>237.94066161939537</c:v>
                </c:pt>
                <c:pt idx="78">
                  <c:v>236.72232530220435</c:v>
                </c:pt>
                <c:pt idx="79">
                  <c:v>238.22689398040913</c:v>
                </c:pt>
                <c:pt idx="80">
                  <c:v>235.66319417758268</c:v>
                </c:pt>
                <c:pt idx="81">
                  <c:v>235.15146771050053</c:v>
                </c:pt>
                <c:pt idx="82">
                  <c:v>234.61353055477522</c:v>
                </c:pt>
                <c:pt idx="83">
                  <c:v>233.28663758676956</c:v>
                </c:pt>
                <c:pt idx="84">
                  <c:v>232.16094273237331</c:v>
                </c:pt>
                <c:pt idx="85">
                  <c:v>233.23074261372923</c:v>
                </c:pt>
                <c:pt idx="86">
                  <c:v>232.7897880848455</c:v>
                </c:pt>
                <c:pt idx="87">
                  <c:v>230.95678505734389</c:v>
                </c:pt>
                <c:pt idx="88">
                  <c:v>231.97504376499009</c:v>
                </c:pt>
                <c:pt idx="89">
                  <c:v>228.24761368791712</c:v>
                </c:pt>
                <c:pt idx="90">
                  <c:v>230.64181876384694</c:v>
                </c:pt>
                <c:pt idx="91">
                  <c:v>229.12901201564114</c:v>
                </c:pt>
                <c:pt idx="92">
                  <c:v>228.27091410130822</c:v>
                </c:pt>
                <c:pt idx="93">
                  <c:v>229.06590419635788</c:v>
                </c:pt>
                <c:pt idx="94">
                  <c:v>226.96634684681561</c:v>
                </c:pt>
                <c:pt idx="95">
                  <c:v>227.51303591830484</c:v>
                </c:pt>
                <c:pt idx="96">
                  <c:v>226.78411106170404</c:v>
                </c:pt>
                <c:pt idx="97">
                  <c:v>226.05514535623189</c:v>
                </c:pt>
                <c:pt idx="98">
                  <c:v>225.10325942981393</c:v>
                </c:pt>
                <c:pt idx="99">
                  <c:v>227.46711825585223</c:v>
                </c:pt>
                <c:pt idx="100">
                  <c:v>224.44430348848084</c:v>
                </c:pt>
                <c:pt idx="101">
                  <c:v>226.22155924866607</c:v>
                </c:pt>
                <c:pt idx="102">
                  <c:v>226.50210803036467</c:v>
                </c:pt>
                <c:pt idx="103">
                  <c:v>224.6676909605149</c:v>
                </c:pt>
                <c:pt idx="104">
                  <c:v>225.40398268780578</c:v>
                </c:pt>
                <c:pt idx="105">
                  <c:v>223.53550265888072</c:v>
                </c:pt>
                <c:pt idx="106">
                  <c:v>224.34519875680851</c:v>
                </c:pt>
                <c:pt idx="107">
                  <c:v>221.40166774007415</c:v>
                </c:pt>
                <c:pt idx="108">
                  <c:v>223.23530105889583</c:v>
                </c:pt>
                <c:pt idx="109">
                  <c:v>224.78531561891273</c:v>
                </c:pt>
                <c:pt idx="110">
                  <c:v>222.58147913016413</c:v>
                </c:pt>
                <c:pt idx="111">
                  <c:v>222.73870440899313</c:v>
                </c:pt>
                <c:pt idx="112">
                  <c:v>220.98880944374875</c:v>
                </c:pt>
                <c:pt idx="113">
                  <c:v>220.62536613451061</c:v>
                </c:pt>
                <c:pt idx="114">
                  <c:v>219.45361023303786</c:v>
                </c:pt>
                <c:pt idx="115">
                  <c:v>219.04842224454421</c:v>
                </c:pt>
                <c:pt idx="116">
                  <c:v>220.92113146566933</c:v>
                </c:pt>
                <c:pt idx="117">
                  <c:v>219.26272077657347</c:v>
                </c:pt>
                <c:pt idx="118">
                  <c:v>216.3369051413685</c:v>
                </c:pt>
                <c:pt idx="119">
                  <c:v>217.24127793806909</c:v>
                </c:pt>
                <c:pt idx="120">
                  <c:v>217.63736180581779</c:v>
                </c:pt>
                <c:pt idx="121">
                  <c:v>214.39584542586749</c:v>
                </c:pt>
                <c:pt idx="122">
                  <c:v>214.39022745021202</c:v>
                </c:pt>
                <c:pt idx="123">
                  <c:v>212.57580954334628</c:v>
                </c:pt>
                <c:pt idx="124">
                  <c:v>213.76742529127736</c:v>
                </c:pt>
                <c:pt idx="125">
                  <c:v>212.9632534000126</c:v>
                </c:pt>
                <c:pt idx="126">
                  <c:v>210.72409338132653</c:v>
                </c:pt>
                <c:pt idx="127">
                  <c:v>211.06216434208912</c:v>
                </c:pt>
                <c:pt idx="128">
                  <c:v>210.77710149157508</c:v>
                </c:pt>
                <c:pt idx="129">
                  <c:v>210.40366022143073</c:v>
                </c:pt>
                <c:pt idx="130">
                  <c:v>210.21342926609887</c:v>
                </c:pt>
                <c:pt idx="131">
                  <c:v>209.59518051532675</c:v>
                </c:pt>
                <c:pt idx="132">
                  <c:v>210.15369421178397</c:v>
                </c:pt>
                <c:pt idx="133">
                  <c:v>208.87399560029564</c:v>
                </c:pt>
                <c:pt idx="134">
                  <c:v>207.92761683037233</c:v>
                </c:pt>
                <c:pt idx="135">
                  <c:v>207.97618458400697</c:v>
                </c:pt>
                <c:pt idx="136">
                  <c:v>206.57884104046241</c:v>
                </c:pt>
                <c:pt idx="137">
                  <c:v>207.65526081673883</c:v>
                </c:pt>
                <c:pt idx="138">
                  <c:v>207.8580716164409</c:v>
                </c:pt>
                <c:pt idx="139">
                  <c:v>204.85963307882344</c:v>
                </c:pt>
                <c:pt idx="140">
                  <c:v>205.65359024823192</c:v>
                </c:pt>
                <c:pt idx="141">
                  <c:v>205.62187836550339</c:v>
                </c:pt>
                <c:pt idx="142">
                  <c:v>205.8828236438633</c:v>
                </c:pt>
                <c:pt idx="143">
                  <c:v>206.56275776850475</c:v>
                </c:pt>
                <c:pt idx="144">
                  <c:v>206.14294526528346</c:v>
                </c:pt>
                <c:pt idx="145">
                  <c:v>204.50715977618898</c:v>
                </c:pt>
                <c:pt idx="146">
                  <c:v>205.42359114720122</c:v>
                </c:pt>
                <c:pt idx="147">
                  <c:v>204.64819359131312</c:v>
                </c:pt>
                <c:pt idx="148">
                  <c:v>204.34853382265422</c:v>
                </c:pt>
                <c:pt idx="149">
                  <c:v>202.31839403309172</c:v>
                </c:pt>
                <c:pt idx="150">
                  <c:v>203.26019624950428</c:v>
                </c:pt>
                <c:pt idx="151">
                  <c:v>204.62668795155801</c:v>
                </c:pt>
                <c:pt idx="152">
                  <c:v>202.44827664453661</c:v>
                </c:pt>
                <c:pt idx="153">
                  <c:v>200.47219842869146</c:v>
                </c:pt>
                <c:pt idx="154">
                  <c:v>202.02054551917576</c:v>
                </c:pt>
                <c:pt idx="155">
                  <c:v>202.24075689370099</c:v>
                </c:pt>
                <c:pt idx="156">
                  <c:v>202.34230508625129</c:v>
                </c:pt>
                <c:pt idx="157">
                  <c:v>200.17142205052716</c:v>
                </c:pt>
                <c:pt idx="158">
                  <c:v>203.47199965951651</c:v>
                </c:pt>
                <c:pt idx="159">
                  <c:v>199.33881948518805</c:v>
                </c:pt>
                <c:pt idx="160">
                  <c:v>201.19295905963548</c:v>
                </c:pt>
                <c:pt idx="161">
                  <c:v>199.55990179122912</c:v>
                </c:pt>
                <c:pt idx="162">
                  <c:v>200.42483827271045</c:v>
                </c:pt>
                <c:pt idx="163">
                  <c:v>201.7568723389025</c:v>
                </c:pt>
                <c:pt idx="164">
                  <c:v>201.01485966512939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C0-43AF-AA50-3CE157AF407D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O2/Ar/Ar at 26s (umol/L)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Sheet1!$N$2:$N$166</c:f>
              <c:numCache>
                <c:formatCode>0.00</c:formatCode>
                <c:ptCount val="165"/>
                <c:pt idx="1">
                  <c:v>237.06851973995126</c:v>
                </c:pt>
                <c:pt idx="2">
                  <c:v>311.44277504171595</c:v>
                </c:pt>
                <c:pt idx="3">
                  <c:v>251.43419356943843</c:v>
                </c:pt>
                <c:pt idx="4">
                  <c:v>251.70880813923526</c:v>
                </c:pt>
                <c:pt idx="5">
                  <c:v>249.47035183775023</c:v>
                </c:pt>
                <c:pt idx="6">
                  <c:v>253.80305774140558</c:v>
                </c:pt>
                <c:pt idx="7">
                  <c:v>251.28768685115668</c:v>
                </c:pt>
                <c:pt idx="8">
                  <c:v>251.51695777401608</c:v>
                </c:pt>
                <c:pt idx="9">
                  <c:v>253.84632000000002</c:v>
                </c:pt>
                <c:pt idx="10">
                  <c:v>253.63482318832931</c:v>
                </c:pt>
                <c:pt idx="11">
                  <c:v>254.53245149335007</c:v>
                </c:pt>
                <c:pt idx="12">
                  <c:v>251.65268272534914</c:v>
                </c:pt>
                <c:pt idx="13">
                  <c:v>253.47326313019434</c:v>
                </c:pt>
                <c:pt idx="14">
                  <c:v>253.81716630363641</c:v>
                </c:pt>
                <c:pt idx="15">
                  <c:v>253.11600986179283</c:v>
                </c:pt>
                <c:pt idx="16">
                  <c:v>253.66559992403725</c:v>
                </c:pt>
                <c:pt idx="17">
                  <c:v>253.23578444451951</c:v>
                </c:pt>
                <c:pt idx="18">
                  <c:v>252.09196661955906</c:v>
                </c:pt>
                <c:pt idx="19">
                  <c:v>251.67464266904497</c:v>
                </c:pt>
                <c:pt idx="20">
                  <c:v>252.08697939505521</c:v>
                </c:pt>
                <c:pt idx="21">
                  <c:v>252.0843968416404</c:v>
                </c:pt>
                <c:pt idx="22">
                  <c:v>251.30392894985761</c:v>
                </c:pt>
                <c:pt idx="23">
                  <c:v>253.19703223774306</c:v>
                </c:pt>
                <c:pt idx="24">
                  <c:v>254.19878636577337</c:v>
                </c:pt>
                <c:pt idx="25">
                  <c:v>250.8044375342466</c:v>
                </c:pt>
                <c:pt idx="26">
                  <c:v>251.29306685459923</c:v>
                </c:pt>
                <c:pt idx="27">
                  <c:v>253.19540943928379</c:v>
                </c:pt>
                <c:pt idx="28">
                  <c:v>253.13967960596759</c:v>
                </c:pt>
                <c:pt idx="29">
                  <c:v>252.9082368469013</c:v>
                </c:pt>
                <c:pt idx="30">
                  <c:v>251.83085127452176</c:v>
                </c:pt>
                <c:pt idx="31">
                  <c:v>253.17243304639143</c:v>
                </c:pt>
                <c:pt idx="32">
                  <c:v>248.02089786454363</c:v>
                </c:pt>
                <c:pt idx="33">
                  <c:v>252.40742947507957</c:v>
                </c:pt>
                <c:pt idx="34">
                  <c:v>251.63539558553609</c:v>
                </c:pt>
                <c:pt idx="35">
                  <c:v>253.07954214793759</c:v>
                </c:pt>
                <c:pt idx="36">
                  <c:v>251.73350251714191</c:v>
                </c:pt>
                <c:pt idx="37">
                  <c:v>252.81053729919014</c:v>
                </c:pt>
                <c:pt idx="38">
                  <c:v>252.47744266183813</c:v>
                </c:pt>
                <c:pt idx="39">
                  <c:v>250.74371525185876</c:v>
                </c:pt>
                <c:pt idx="40">
                  <c:v>253.10721085628856</c:v>
                </c:pt>
                <c:pt idx="41">
                  <c:v>252.24997374371921</c:v>
                </c:pt>
                <c:pt idx="42">
                  <c:v>251.02610611415787</c:v>
                </c:pt>
                <c:pt idx="43">
                  <c:v>248.8206437571971</c:v>
                </c:pt>
                <c:pt idx="44">
                  <c:v>250.40009999052626</c:v>
                </c:pt>
                <c:pt idx="45">
                  <c:v>249.28860052638785</c:v>
                </c:pt>
                <c:pt idx="46">
                  <c:v>249.83177904233773</c:v>
                </c:pt>
                <c:pt idx="47">
                  <c:v>247.23737671090595</c:v>
                </c:pt>
                <c:pt idx="48">
                  <c:v>248.04003186909566</c:v>
                </c:pt>
                <c:pt idx="49">
                  <c:v>244.69681540744665</c:v>
                </c:pt>
                <c:pt idx="50">
                  <c:v>245.99141377340868</c:v>
                </c:pt>
                <c:pt idx="51">
                  <c:v>246.99129968586382</c:v>
                </c:pt>
                <c:pt idx="52">
                  <c:v>246.02302837579145</c:v>
                </c:pt>
                <c:pt idx="53">
                  <c:v>242.59396049986233</c:v>
                </c:pt>
                <c:pt idx="54">
                  <c:v>244.27888621937313</c:v>
                </c:pt>
                <c:pt idx="55">
                  <c:v>244.41593514292785</c:v>
                </c:pt>
                <c:pt idx="56">
                  <c:v>242.80940314463774</c:v>
                </c:pt>
                <c:pt idx="57">
                  <c:v>243.35680931601735</c:v>
                </c:pt>
                <c:pt idx="58">
                  <c:v>243.86816672476709</c:v>
                </c:pt>
                <c:pt idx="59">
                  <c:v>242.03654654763534</c:v>
                </c:pt>
                <c:pt idx="60">
                  <c:v>241.43403188831311</c:v>
                </c:pt>
                <c:pt idx="61">
                  <c:v>241.03171505964642</c:v>
                </c:pt>
                <c:pt idx="62">
                  <c:v>242.63588530172834</c:v>
                </c:pt>
                <c:pt idx="63">
                  <c:v>242.98024377647675</c:v>
                </c:pt>
                <c:pt idx="64">
                  <c:v>241.51202117076195</c:v>
                </c:pt>
                <c:pt idx="65">
                  <c:v>241.72065676960258</c:v>
                </c:pt>
                <c:pt idx="66">
                  <c:v>240.75031499999997</c:v>
                </c:pt>
                <c:pt idx="67">
                  <c:v>241.65319968300602</c:v>
                </c:pt>
                <c:pt idx="68">
                  <c:v>240.82746228213847</c:v>
                </c:pt>
                <c:pt idx="69">
                  <c:v>241.09123100536459</c:v>
                </c:pt>
                <c:pt idx="70">
                  <c:v>239.98077431184433</c:v>
                </c:pt>
                <c:pt idx="71">
                  <c:v>239.80065232746202</c:v>
                </c:pt>
                <c:pt idx="72">
                  <c:v>240.41633360574178</c:v>
                </c:pt>
                <c:pt idx="73">
                  <c:v>237.06680276863466</c:v>
                </c:pt>
                <c:pt idx="74">
                  <c:v>237.2376064744773</c:v>
                </c:pt>
                <c:pt idx="75">
                  <c:v>237.36727911343021</c:v>
                </c:pt>
                <c:pt idx="76">
                  <c:v>236.24170286232342</c:v>
                </c:pt>
                <c:pt idx="77">
                  <c:v>237.45787495955838</c:v>
                </c:pt>
                <c:pt idx="78">
                  <c:v>236.22204655312473</c:v>
                </c:pt>
                <c:pt idx="79">
                  <c:v>237.74821686071505</c:v>
                </c:pt>
                <c:pt idx="80">
                  <c:v>235.147709105019</c:v>
                </c:pt>
                <c:pt idx="81">
                  <c:v>234.62863559845053</c:v>
                </c:pt>
                <c:pt idx="82">
                  <c:v>234.0829750870293</c:v>
                </c:pt>
                <c:pt idx="83">
                  <c:v>232.73703144320916</c:v>
                </c:pt>
                <c:pt idx="84">
                  <c:v>231.5951745861087</c:v>
                </c:pt>
                <c:pt idx="85">
                  <c:v>232.68033396609601</c:v>
                </c:pt>
                <c:pt idx="86">
                  <c:v>232.23304849569604</c:v>
                </c:pt>
                <c:pt idx="87">
                  <c:v>230.37372838966149</c:v>
                </c:pt>
                <c:pt idx="88">
                  <c:v>231.4066066009168</c:v>
                </c:pt>
                <c:pt idx="89">
                  <c:v>227.62566048017516</c:v>
                </c:pt>
                <c:pt idx="90">
                  <c:v>230.05424001269995</c:v>
                </c:pt>
                <c:pt idx="91">
                  <c:v>228.51971335819809</c:v>
                </c:pt>
                <c:pt idx="92">
                  <c:v>227.64929542591548</c:v>
                </c:pt>
                <c:pt idx="93">
                  <c:v>228.45569947743468</c:v>
                </c:pt>
                <c:pt idx="94">
                  <c:v>226.32599803384377</c:v>
                </c:pt>
                <c:pt idx="95">
                  <c:v>226.88053611540644</c:v>
                </c:pt>
                <c:pt idx="96">
                  <c:v>226.14114582453851</c:v>
                </c:pt>
                <c:pt idx="97">
                  <c:v>225.40171409831737</c:v>
                </c:pt>
                <c:pt idx="98">
                  <c:v>224.4361616059941</c:v>
                </c:pt>
                <c:pt idx="99">
                  <c:v>226.83395919668928</c:v>
                </c:pt>
                <c:pt idx="100">
                  <c:v>223.76774479907724</c:v>
                </c:pt>
                <c:pt idx="101">
                  <c:v>225.5705172543864</c:v>
                </c:pt>
                <c:pt idx="102">
                  <c:v>225.8550939750516</c:v>
                </c:pt>
                <c:pt idx="103">
                  <c:v>223.99433952475823</c:v>
                </c:pt>
                <c:pt idx="104">
                  <c:v>224.74120245510744</c:v>
                </c:pt>
                <c:pt idx="105">
                  <c:v>222.84589599168078</c:v>
                </c:pt>
                <c:pt idx="106">
                  <c:v>223.66721718540893</c:v>
                </c:pt>
                <c:pt idx="107">
                  <c:v>220.68142484353243</c:v>
                </c:pt>
                <c:pt idx="108">
                  <c:v>222.54138429020452</c:v>
                </c:pt>
                <c:pt idx="109">
                  <c:v>224.11365296234848</c:v>
                </c:pt>
                <c:pt idx="110">
                  <c:v>221.87817520673991</c:v>
                </c:pt>
                <c:pt idx="111">
                  <c:v>222.03765782499949</c:v>
                </c:pt>
                <c:pt idx="112">
                  <c:v>220.26263899332722</c:v>
                </c:pt>
                <c:pt idx="113">
                  <c:v>219.89397759881155</c:v>
                </c:pt>
                <c:pt idx="114">
                  <c:v>218.70539837974579</c:v>
                </c:pt>
                <c:pt idx="115">
                  <c:v>218.29439296271886</c:v>
                </c:pt>
                <c:pt idx="116">
                  <c:v>220.19398933836709</c:v>
                </c:pt>
                <c:pt idx="117">
                  <c:v>218.51176825524021</c:v>
                </c:pt>
                <c:pt idx="118">
                  <c:v>215.54394564094707</c:v>
                </c:pt>
                <c:pt idx="119">
                  <c:v>216.46130284059561</c:v>
                </c:pt>
                <c:pt idx="120">
                  <c:v>216.86307342576745</c:v>
                </c:pt>
                <c:pt idx="121">
                  <c:v>213.57501743848579</c:v>
                </c:pt>
                <c:pt idx="122">
                  <c:v>213.56931880354921</c:v>
                </c:pt>
                <c:pt idx="123">
                  <c:v>211.7288506513591</c:v>
                </c:pt>
                <c:pt idx="124">
                  <c:v>212.93757485178531</c:v>
                </c:pt>
                <c:pt idx="125">
                  <c:v>212.1218571777265</c:v>
                </c:pt>
                <c:pt idx="126">
                  <c:v>209.85054873965669</c:v>
                </c:pt>
                <c:pt idx="127">
                  <c:v>210.19347350583624</c:v>
                </c:pt>
                <c:pt idx="128">
                  <c:v>209.90431790625888</c:v>
                </c:pt>
                <c:pt idx="129">
                  <c:v>209.52551500654465</c:v>
                </c:pt>
                <c:pt idx="130">
                  <c:v>209.33255283750736</c:v>
                </c:pt>
                <c:pt idx="131">
                  <c:v>208.70542766881184</c:v>
                </c:pt>
                <c:pt idx="132">
                  <c:v>209.27196014570251</c:v>
                </c:pt>
                <c:pt idx="133">
                  <c:v>207.97388844461651</c:v>
                </c:pt>
                <c:pt idx="134">
                  <c:v>207.01392217699876</c:v>
                </c:pt>
                <c:pt idx="135">
                  <c:v>207.06318723520272</c:v>
                </c:pt>
                <c:pt idx="136">
                  <c:v>205.6457815317919</c:v>
                </c:pt>
                <c:pt idx="137">
                  <c:v>206.73765585089325</c:v>
                </c:pt>
                <c:pt idx="138">
                  <c:v>206.94337847761525</c:v>
                </c:pt>
                <c:pt idx="139">
                  <c:v>203.90189028798579</c:v>
                </c:pt>
                <c:pt idx="140">
                  <c:v>204.7072465837818</c:v>
                </c:pt>
                <c:pt idx="141">
                  <c:v>204.67507940223723</c:v>
                </c:pt>
                <c:pt idx="142">
                  <c:v>204.93977116507122</c:v>
                </c:pt>
                <c:pt idx="143">
                  <c:v>205.62946734655981</c:v>
                </c:pt>
                <c:pt idx="144">
                  <c:v>205.20362744542882</c:v>
                </c:pt>
                <c:pt idx="145">
                  <c:v>203.54435640037303</c:v>
                </c:pt>
                <c:pt idx="146">
                  <c:v>204.47394530358744</c:v>
                </c:pt>
                <c:pt idx="147">
                  <c:v>203.68741508830576</c:v>
                </c:pt>
                <c:pt idx="148">
                  <c:v>203.38345299742113</c:v>
                </c:pt>
                <c:pt idx="149">
                  <c:v>201.32416576648876</c:v>
                </c:pt>
                <c:pt idx="150">
                  <c:v>202.27948977338397</c:v>
                </c:pt>
                <c:pt idx="151">
                  <c:v>203.66560068440683</c:v>
                </c:pt>
                <c:pt idx="152">
                  <c:v>201.45591314893198</c:v>
                </c:pt>
                <c:pt idx="153">
                  <c:v>199.45146367302152</c:v>
                </c:pt>
                <c:pt idx="154">
                  <c:v>201.02204093517776</c:v>
                </c:pt>
                <c:pt idx="155">
                  <c:v>201.24541396298468</c:v>
                </c:pt>
                <c:pt idx="156">
                  <c:v>201.34842011917073</c:v>
                </c:pt>
                <c:pt idx="157">
                  <c:v>199.14636894107039</c:v>
                </c:pt>
                <c:pt idx="158">
                  <c:v>202.49433412053116</c:v>
                </c:pt>
                <c:pt idx="159">
                  <c:v>198.30181240360469</c:v>
                </c:pt>
                <c:pt idx="160">
                  <c:v>200.18257252153171</c:v>
                </c:pt>
                <c:pt idx="161">
                  <c:v>198.52606886720199</c:v>
                </c:pt>
                <c:pt idx="162">
                  <c:v>199.40342355038163</c:v>
                </c:pt>
                <c:pt idx="163">
                  <c:v>200.75458210496927</c:v>
                </c:pt>
                <c:pt idx="164">
                  <c:v>200.0019160904678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C0-43AF-AA50-3CE157AF407D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O2/Ar/Ar initial (umol/L)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Sheet1!$F$2:$F$166</c:f>
              <c:numCache>
                <c:formatCode>0.0</c:formatCode>
                <c:ptCount val="165"/>
                <c:pt idx="0">
                  <c:v>2.5533333333333335E-2</c:v>
                </c:pt>
                <c:pt idx="1">
                  <c:v>2.8916666666666667E-2</c:v>
                </c:pt>
                <c:pt idx="2">
                  <c:v>8.4199999999999997E-2</c:v>
                </c:pt>
                <c:pt idx="3">
                  <c:v>0.10021666666666666</c:v>
                </c:pt>
                <c:pt idx="4">
                  <c:v>0.12875</c:v>
                </c:pt>
                <c:pt idx="5">
                  <c:v>0.19061666666666666</c:v>
                </c:pt>
                <c:pt idx="6">
                  <c:v>0.25248333333333334</c:v>
                </c:pt>
                <c:pt idx="7">
                  <c:v>0.31435000000000002</c:v>
                </c:pt>
                <c:pt idx="8">
                  <c:v>0.37621666666666664</c:v>
                </c:pt>
                <c:pt idx="9">
                  <c:v>0.43808333333333332</c:v>
                </c:pt>
                <c:pt idx="10">
                  <c:v>0.49995000000000001</c:v>
                </c:pt>
                <c:pt idx="11">
                  <c:v>0.56181666666666663</c:v>
                </c:pt>
                <c:pt idx="12">
                  <c:v>0.62368333333333337</c:v>
                </c:pt>
                <c:pt idx="13">
                  <c:v>0.68554999999999999</c:v>
                </c:pt>
                <c:pt idx="14">
                  <c:v>0.74741666666666662</c:v>
                </c:pt>
                <c:pt idx="15">
                  <c:v>0.80928333333333335</c:v>
                </c:pt>
                <c:pt idx="16">
                  <c:v>0.87114999999999998</c:v>
                </c:pt>
                <c:pt idx="17">
                  <c:v>0.93301666666666672</c:v>
                </c:pt>
                <c:pt idx="18">
                  <c:v>0.99488333333333334</c:v>
                </c:pt>
                <c:pt idx="19">
                  <c:v>1.0567500000000001</c:v>
                </c:pt>
                <c:pt idx="20">
                  <c:v>1.1186166666666666</c:v>
                </c:pt>
                <c:pt idx="21">
                  <c:v>1.1804833333333333</c:v>
                </c:pt>
                <c:pt idx="22">
                  <c:v>1.2423500000000001</c:v>
                </c:pt>
                <c:pt idx="23">
                  <c:v>1.3042166666666666</c:v>
                </c:pt>
                <c:pt idx="24">
                  <c:v>1.3660833333333333</c:v>
                </c:pt>
                <c:pt idx="25">
                  <c:v>1.4279500000000001</c:v>
                </c:pt>
                <c:pt idx="26">
                  <c:v>1.4898166666666666</c:v>
                </c:pt>
                <c:pt idx="27">
                  <c:v>1.5516833333333333</c:v>
                </c:pt>
                <c:pt idx="28">
                  <c:v>1.61355</c:v>
                </c:pt>
                <c:pt idx="29">
                  <c:v>1.6597500000000001</c:v>
                </c:pt>
                <c:pt idx="30">
                  <c:v>1.7216166666666666</c:v>
                </c:pt>
                <c:pt idx="31">
                  <c:v>1.7834833333333333</c:v>
                </c:pt>
                <c:pt idx="32">
                  <c:v>1.84535</c:v>
                </c:pt>
                <c:pt idx="33">
                  <c:v>1.9072166666666666</c:v>
                </c:pt>
                <c:pt idx="34">
                  <c:v>1.9690833333333333</c:v>
                </c:pt>
                <c:pt idx="35">
                  <c:v>2.0309499999999998</c:v>
                </c:pt>
                <c:pt idx="36">
                  <c:v>2.0928166666666668</c:v>
                </c:pt>
                <c:pt idx="37">
                  <c:v>2.1546833333333333</c:v>
                </c:pt>
                <c:pt idx="38">
                  <c:v>2.2165499999999998</c:v>
                </c:pt>
                <c:pt idx="39">
                  <c:v>2.2784166666666668</c:v>
                </c:pt>
                <c:pt idx="40">
                  <c:v>2.3402833333333333</c:v>
                </c:pt>
                <c:pt idx="41">
                  <c:v>2.4021499999999998</c:v>
                </c:pt>
                <c:pt idx="42">
                  <c:v>2.4640166666666667</c:v>
                </c:pt>
                <c:pt idx="43">
                  <c:v>2.5258833333333333</c:v>
                </c:pt>
                <c:pt idx="44">
                  <c:v>2.5720833333333335</c:v>
                </c:pt>
                <c:pt idx="45">
                  <c:v>2.63395</c:v>
                </c:pt>
                <c:pt idx="46">
                  <c:v>2.6958166666666665</c:v>
                </c:pt>
                <c:pt idx="47">
                  <c:v>2.7576833333333335</c:v>
                </c:pt>
                <c:pt idx="48">
                  <c:v>2.81955</c:v>
                </c:pt>
                <c:pt idx="49">
                  <c:v>2.8814166666666665</c:v>
                </c:pt>
                <c:pt idx="50">
                  <c:v>2.9432833333333335</c:v>
                </c:pt>
                <c:pt idx="51">
                  <c:v>3.00515</c:v>
                </c:pt>
                <c:pt idx="52">
                  <c:v>3.0670166666666665</c:v>
                </c:pt>
                <c:pt idx="53">
                  <c:v>3.1288833333333335</c:v>
                </c:pt>
                <c:pt idx="54">
                  <c:v>3.19075</c:v>
                </c:pt>
                <c:pt idx="55">
                  <c:v>3.2526166666666665</c:v>
                </c:pt>
                <c:pt idx="56">
                  <c:v>3.3144833333333334</c:v>
                </c:pt>
                <c:pt idx="57">
                  <c:v>3.37635</c:v>
                </c:pt>
                <c:pt idx="58">
                  <c:v>3.4382166666666665</c:v>
                </c:pt>
                <c:pt idx="59">
                  <c:v>3.5000833333333334</c:v>
                </c:pt>
                <c:pt idx="60">
                  <c:v>3.5619499999999999</c:v>
                </c:pt>
                <c:pt idx="61">
                  <c:v>3.6238166666666665</c:v>
                </c:pt>
                <c:pt idx="62">
                  <c:v>3.6856833333333334</c:v>
                </c:pt>
                <c:pt idx="63">
                  <c:v>3.7475499999999999</c:v>
                </c:pt>
                <c:pt idx="64">
                  <c:v>3.8094166666666665</c:v>
                </c:pt>
                <c:pt idx="65">
                  <c:v>3.8712833333333334</c:v>
                </c:pt>
                <c:pt idx="66">
                  <c:v>3.9331499999999999</c:v>
                </c:pt>
                <c:pt idx="67">
                  <c:v>3.9950166666666669</c:v>
                </c:pt>
                <c:pt idx="68">
                  <c:v>4.0568833333333334</c:v>
                </c:pt>
                <c:pt idx="69">
                  <c:v>4.1187500000000004</c:v>
                </c:pt>
                <c:pt idx="70">
                  <c:v>4.1806166666666664</c:v>
                </c:pt>
                <c:pt idx="71">
                  <c:v>4.2424833333333334</c:v>
                </c:pt>
                <c:pt idx="72">
                  <c:v>4.3043500000000003</c:v>
                </c:pt>
                <c:pt idx="73">
                  <c:v>4.3662166666666664</c:v>
                </c:pt>
                <c:pt idx="74">
                  <c:v>4.4280833333333334</c:v>
                </c:pt>
                <c:pt idx="75">
                  <c:v>4.4899500000000003</c:v>
                </c:pt>
                <c:pt idx="76">
                  <c:v>4.5518166666666664</c:v>
                </c:pt>
                <c:pt idx="77">
                  <c:v>4.6136833333333334</c:v>
                </c:pt>
                <c:pt idx="78">
                  <c:v>4.6755500000000003</c:v>
                </c:pt>
                <c:pt idx="79">
                  <c:v>4.7374166666666664</c:v>
                </c:pt>
                <c:pt idx="80">
                  <c:v>4.7992833333333333</c:v>
                </c:pt>
                <c:pt idx="81">
                  <c:v>4.8611500000000003</c:v>
                </c:pt>
                <c:pt idx="82">
                  <c:v>4.9230166666666664</c:v>
                </c:pt>
                <c:pt idx="83">
                  <c:v>4.9848833333333333</c:v>
                </c:pt>
                <c:pt idx="84">
                  <c:v>5.0467500000000003</c:v>
                </c:pt>
                <c:pt idx="85">
                  <c:v>5.1086166666666664</c:v>
                </c:pt>
                <c:pt idx="86">
                  <c:v>5.1704833333333333</c:v>
                </c:pt>
                <c:pt idx="87">
                  <c:v>5.2323500000000003</c:v>
                </c:pt>
                <c:pt idx="88">
                  <c:v>5.2942166666666663</c:v>
                </c:pt>
                <c:pt idx="89">
                  <c:v>5.3560833333333333</c:v>
                </c:pt>
                <c:pt idx="90">
                  <c:v>5.4179500000000003</c:v>
                </c:pt>
                <c:pt idx="91">
                  <c:v>5.4798166666666663</c:v>
                </c:pt>
                <c:pt idx="92">
                  <c:v>5.5416833333333333</c:v>
                </c:pt>
                <c:pt idx="93">
                  <c:v>5.6035500000000003</c:v>
                </c:pt>
                <c:pt idx="94">
                  <c:v>5.6654166666666663</c:v>
                </c:pt>
                <c:pt idx="95">
                  <c:v>5.7272833333333333</c:v>
                </c:pt>
                <c:pt idx="96">
                  <c:v>5.7891500000000002</c:v>
                </c:pt>
                <c:pt idx="97">
                  <c:v>5.8510166666666663</c:v>
                </c:pt>
                <c:pt idx="98">
                  <c:v>5.9128833333333333</c:v>
                </c:pt>
                <c:pt idx="99">
                  <c:v>5.9747500000000002</c:v>
                </c:pt>
                <c:pt idx="100">
                  <c:v>6.0366166666666663</c:v>
                </c:pt>
                <c:pt idx="101">
                  <c:v>6.0984833333333333</c:v>
                </c:pt>
                <c:pt idx="102">
                  <c:v>6.1603500000000002</c:v>
                </c:pt>
                <c:pt idx="103">
                  <c:v>6.2222166666666663</c:v>
                </c:pt>
                <c:pt idx="104">
                  <c:v>6.2840833333333332</c:v>
                </c:pt>
                <c:pt idx="105">
                  <c:v>6.3459500000000002</c:v>
                </c:pt>
                <c:pt idx="106">
                  <c:v>6.4078166666666663</c:v>
                </c:pt>
                <c:pt idx="107">
                  <c:v>6.4696833333333332</c:v>
                </c:pt>
                <c:pt idx="108">
                  <c:v>6.5315500000000002</c:v>
                </c:pt>
                <c:pt idx="109">
                  <c:v>6.5934166666666663</c:v>
                </c:pt>
                <c:pt idx="110">
                  <c:v>6.6552833333333332</c:v>
                </c:pt>
                <c:pt idx="111">
                  <c:v>6.7171500000000002</c:v>
                </c:pt>
                <c:pt idx="112">
                  <c:v>6.7790166666666662</c:v>
                </c:pt>
                <c:pt idx="113">
                  <c:v>6.8408833333333332</c:v>
                </c:pt>
                <c:pt idx="114">
                  <c:v>6.9027500000000002</c:v>
                </c:pt>
                <c:pt idx="115">
                  <c:v>6.9646166666666662</c:v>
                </c:pt>
                <c:pt idx="116">
                  <c:v>7.0264833333333332</c:v>
                </c:pt>
                <c:pt idx="117">
                  <c:v>7.0883500000000002</c:v>
                </c:pt>
                <c:pt idx="118">
                  <c:v>7.1502166666666671</c:v>
                </c:pt>
                <c:pt idx="119">
                  <c:v>7.2120833333333332</c:v>
                </c:pt>
                <c:pt idx="120">
                  <c:v>7.2739500000000001</c:v>
                </c:pt>
                <c:pt idx="121">
                  <c:v>7.3358166666666671</c:v>
                </c:pt>
                <c:pt idx="122">
                  <c:v>7.3976833333333332</c:v>
                </c:pt>
                <c:pt idx="123">
                  <c:v>7.443883333333333</c:v>
                </c:pt>
                <c:pt idx="124">
                  <c:v>7.5057499999999999</c:v>
                </c:pt>
                <c:pt idx="125">
                  <c:v>7.5676166666666669</c:v>
                </c:pt>
                <c:pt idx="126">
                  <c:v>7.629483333333333</c:v>
                </c:pt>
                <c:pt idx="127">
                  <c:v>7.6913499999999999</c:v>
                </c:pt>
                <c:pt idx="128">
                  <c:v>7.7532166666666669</c:v>
                </c:pt>
                <c:pt idx="129">
                  <c:v>7.8150833333333329</c:v>
                </c:pt>
                <c:pt idx="130">
                  <c:v>7.8769499999999999</c:v>
                </c:pt>
                <c:pt idx="131">
                  <c:v>7.9388166666666669</c:v>
                </c:pt>
                <c:pt idx="132">
                  <c:v>8.0006833333333329</c:v>
                </c:pt>
                <c:pt idx="133">
                  <c:v>8.0468833333333336</c:v>
                </c:pt>
                <c:pt idx="134">
                  <c:v>8.1087500000000006</c:v>
                </c:pt>
                <c:pt idx="135">
                  <c:v>8.1706166666666675</c:v>
                </c:pt>
                <c:pt idx="136">
                  <c:v>8.2324833333333327</c:v>
                </c:pt>
                <c:pt idx="137">
                  <c:v>8.2943499999999997</c:v>
                </c:pt>
                <c:pt idx="138">
                  <c:v>8.3562166666666666</c:v>
                </c:pt>
                <c:pt idx="139">
                  <c:v>8.4180833333333336</c:v>
                </c:pt>
                <c:pt idx="140">
                  <c:v>8.4799500000000005</c:v>
                </c:pt>
                <c:pt idx="141">
                  <c:v>8.5418166666666675</c:v>
                </c:pt>
                <c:pt idx="142">
                  <c:v>8.6036833333333327</c:v>
                </c:pt>
                <c:pt idx="143">
                  <c:v>8.6655499999999996</c:v>
                </c:pt>
                <c:pt idx="144">
                  <c:v>8.7274166666666666</c:v>
                </c:pt>
                <c:pt idx="145">
                  <c:v>8.7892833333333336</c:v>
                </c:pt>
                <c:pt idx="146">
                  <c:v>8.8511500000000005</c:v>
                </c:pt>
                <c:pt idx="147">
                  <c:v>8.9130166666666675</c:v>
                </c:pt>
                <c:pt idx="148">
                  <c:v>8.9748833333333327</c:v>
                </c:pt>
                <c:pt idx="149">
                  <c:v>9.0367499999999996</c:v>
                </c:pt>
                <c:pt idx="150">
                  <c:v>9.0986166666666666</c:v>
                </c:pt>
                <c:pt idx="151">
                  <c:v>9.1604833333333335</c:v>
                </c:pt>
                <c:pt idx="152">
                  <c:v>9.2223500000000005</c:v>
                </c:pt>
                <c:pt idx="153">
                  <c:v>9.2842166666666675</c:v>
                </c:pt>
                <c:pt idx="154">
                  <c:v>9.3460833333333326</c:v>
                </c:pt>
                <c:pt idx="155">
                  <c:v>9.4079499999999996</c:v>
                </c:pt>
                <c:pt idx="156">
                  <c:v>9.4698166666666665</c:v>
                </c:pt>
                <c:pt idx="157">
                  <c:v>9.5316833333333335</c:v>
                </c:pt>
                <c:pt idx="158">
                  <c:v>9.5935500000000005</c:v>
                </c:pt>
                <c:pt idx="159">
                  <c:v>9.6554166666666674</c:v>
                </c:pt>
                <c:pt idx="160">
                  <c:v>9.7172833333333326</c:v>
                </c:pt>
                <c:pt idx="161">
                  <c:v>9.7791499999999996</c:v>
                </c:pt>
                <c:pt idx="162">
                  <c:v>9.8410166666666665</c:v>
                </c:pt>
                <c:pt idx="163">
                  <c:v>9.9028833333333335</c:v>
                </c:pt>
                <c:pt idx="164">
                  <c:v>9.9647500000000004</c:v>
                </c:pt>
              </c:numCache>
            </c:numRef>
          </c:xVal>
          <c:yVal>
            <c:numRef>
              <c:f>Sheet1!$O$2:$O$166</c:f>
              <c:numCache>
                <c:formatCode>0.00</c:formatCode>
                <c:ptCount val="165"/>
                <c:pt idx="1">
                  <c:v>235.16182000000001</c:v>
                </c:pt>
                <c:pt idx="2">
                  <c:v>308.9475777943062</c:v>
                </c:pt>
                <c:pt idx="3">
                  <c:v>249.41382326959638</c:v>
                </c:pt>
                <c:pt idx="4">
                  <c:v>249.68626491020976</c:v>
                </c:pt>
                <c:pt idx="5">
                  <c:v>247.46552073167155</c:v>
                </c:pt>
                <c:pt idx="6">
                  <c:v>251.76394344668174</c:v>
                </c:pt>
                <c:pt idx="7">
                  <c:v>249.26847580780984</c:v>
                </c:pt>
                <c:pt idx="8">
                  <c:v>249.49593258992806</c:v>
                </c:pt>
                <c:pt idx="9">
                  <c:v>251.80686338613302</c:v>
                </c:pt>
                <c:pt idx="10">
                  <c:v>251.59704007486911</c:v>
                </c:pt>
                <c:pt idx="11">
                  <c:v>252.4875657606033</c:v>
                </c:pt>
                <c:pt idx="12">
                  <c:v>249.63058359712235</c:v>
                </c:pt>
                <c:pt idx="13">
                  <c:v>251.4367583850503</c:v>
                </c:pt>
                <c:pt idx="14">
                  <c:v>251.77794037278693</c:v>
                </c:pt>
                <c:pt idx="15">
                  <c:v>251.0823319369932</c:v>
                </c:pt>
                <c:pt idx="16">
                  <c:v>251.62757328501593</c:v>
                </c:pt>
                <c:pt idx="17">
                  <c:v>251.2011587852773</c:v>
                </c:pt>
                <c:pt idx="18">
                  <c:v>250.06639159129452</c:v>
                </c:pt>
                <c:pt idx="19">
                  <c:v>249.65236977945307</c:v>
                </c:pt>
                <c:pt idx="20">
                  <c:v>250.06144382895644</c:v>
                </c:pt>
                <c:pt idx="21">
                  <c:v>250.05888171038481</c:v>
                </c:pt>
                <c:pt idx="22">
                  <c:v>249.2845893884562</c:v>
                </c:pt>
                <c:pt idx="23">
                  <c:v>251.16271321117904</c:v>
                </c:pt>
                <c:pt idx="24">
                  <c:v>252.1565408086507</c:v>
                </c:pt>
                <c:pt idx="25">
                  <c:v>248.78905027397263</c:v>
                </c:pt>
                <c:pt idx="26">
                  <c:v>249.27381324116408</c:v>
                </c:pt>
                <c:pt idx="27">
                  <c:v>251.16110325335731</c:v>
                </c:pt>
                <c:pt idx="28">
                  <c:v>251.1058143907488</c:v>
                </c:pt>
                <c:pt idx="29">
                  <c:v>250.87620295740507</c:v>
                </c:pt>
                <c:pt idx="30">
                  <c:v>249.80734236078962</c:v>
                </c:pt>
                <c:pt idx="31">
                  <c:v>251.13830866463749</c:v>
                </c:pt>
                <c:pt idx="32">
                  <c:v>246.02753578154213</c:v>
                </c:pt>
                <c:pt idx="33">
                  <c:v>250.37935829941273</c:v>
                </c:pt>
                <c:pt idx="34">
                  <c:v>249.61343324440912</c:v>
                </c:pt>
                <c:pt idx="35">
                  <c:v>251.04615277942153</c:v>
                </c:pt>
                <c:pt idx="36">
                  <c:v>249.71076389012848</c:v>
                </c:pt>
                <c:pt idx="37">
                  <c:v>250.77927647209395</c:v>
                </c:pt>
                <c:pt idx="38">
                  <c:v>250.44881749627606</c:v>
                </c:pt>
                <c:pt idx="39">
                  <c:v>248.72880846579847</c:v>
                </c:pt>
                <c:pt idx="40">
                  <c:v>251.07360255494649</c:v>
                </c:pt>
                <c:pt idx="41">
                  <c:v>250.22314846026418</c:v>
                </c:pt>
                <c:pt idx="42">
                  <c:v>249.00896486782744</c:v>
                </c:pt>
                <c:pt idx="43">
                  <c:v>246.82095356425336</c:v>
                </c:pt>
                <c:pt idx="44">
                  <c:v>248.3879121120234</c:v>
                </c:pt>
                <c:pt idx="45">
                  <c:v>247.28520755496046</c:v>
                </c:pt>
                <c:pt idx="46">
                  <c:v>247.82408808901533</c:v>
                </c:pt>
                <c:pt idx="47">
                  <c:v>245.25021435715334</c:v>
                </c:pt>
                <c:pt idx="48">
                  <c:v>246.0465183853986</c:v>
                </c:pt>
                <c:pt idx="49">
                  <c:v>242.72975562801318</c:v>
                </c:pt>
                <c:pt idx="50">
                  <c:v>244.01411028923573</c:v>
                </c:pt>
                <c:pt idx="51">
                  <c:v>245.00608445366953</c:v>
                </c:pt>
                <c:pt idx="52">
                  <c:v>244.04547473631109</c:v>
                </c:pt>
                <c:pt idx="53">
                  <c:v>240.64353987690362</c:v>
                </c:pt>
                <c:pt idx="54">
                  <c:v>242.3151333676457</c:v>
                </c:pt>
                <c:pt idx="55">
                  <c:v>242.45109787093182</c:v>
                </c:pt>
                <c:pt idx="56">
                  <c:v>240.85727779927291</c:v>
                </c:pt>
                <c:pt idx="57">
                  <c:v>241.40035253679659</c:v>
                </c:pt>
                <c:pt idx="58">
                  <c:v>241.90766375295928</c:v>
                </c:pt>
                <c:pt idx="59">
                  <c:v>240.09053654660724</c:v>
                </c:pt>
                <c:pt idx="60">
                  <c:v>239.49278937535976</c:v>
                </c:pt>
                <c:pt idx="61">
                  <c:v>239.09365593925165</c:v>
                </c:pt>
                <c:pt idx="62">
                  <c:v>240.68513294245437</c:v>
                </c:pt>
                <c:pt idx="63">
                  <c:v>241.02676662885713</c:v>
                </c:pt>
                <c:pt idx="64">
                  <c:v>239.57016155585382</c:v>
                </c:pt>
                <c:pt idx="65">
                  <c:v>239.77714629406552</c:v>
                </c:pt>
                <c:pt idx="66">
                  <c:v>238.8144825</c:v>
                </c:pt>
                <c:pt idx="67">
                  <c:v>239.71022297183623</c:v>
                </c:pt>
                <c:pt idx="68">
                  <c:v>238.89101934263815</c:v>
                </c:pt>
                <c:pt idx="69">
                  <c:v>239.15270095607693</c:v>
                </c:pt>
                <c:pt idx="70">
                  <c:v>238.05103091855241</c:v>
                </c:pt>
                <c:pt idx="71">
                  <c:v>237.87233417652607</c:v>
                </c:pt>
                <c:pt idx="72">
                  <c:v>238.4831437838736</c:v>
                </c:pt>
                <c:pt idx="73">
                  <c:v>235.1601166144778</c:v>
                </c:pt>
                <c:pt idx="74">
                  <c:v>235.32956881024828</c:v>
                </c:pt>
                <c:pt idx="75">
                  <c:v>235.45821539489648</c:v>
                </c:pt>
                <c:pt idx="76">
                  <c:v>234.34154543556426</c:v>
                </c:pt>
                <c:pt idx="77">
                  <c:v>235.54809438773427</c:v>
                </c:pt>
                <c:pt idx="78">
                  <c:v>234.32204465987536</c:v>
                </c:pt>
                <c:pt idx="79">
                  <c:v>235.83613891482713</c:v>
                </c:pt>
                <c:pt idx="80">
                  <c:v>233.25620806879087</c:v>
                </c:pt>
                <c:pt idx="81">
                  <c:v>232.74124180959669</c:v>
                </c:pt>
                <c:pt idx="82">
                  <c:v>232.19989891923385</c:v>
                </c:pt>
                <c:pt idx="83">
                  <c:v>230.86460525740483</c:v>
                </c:pt>
                <c:pt idx="84">
                  <c:v>229.73178351482824</c:v>
                </c:pt>
                <c:pt idx="85">
                  <c:v>230.80835640762683</c:v>
                </c:pt>
                <c:pt idx="86">
                  <c:v>230.3646101509425</c:v>
                </c:pt>
                <c:pt idx="87">
                  <c:v>228.52000219555103</c:v>
                </c:pt>
                <c:pt idx="88">
                  <c:v>229.54470760224692</c:v>
                </c:pt>
                <c:pt idx="89">
                  <c:v>225.79367878768687</c:v>
                </c:pt>
                <c:pt idx="90">
                  <c:v>228.20304181853706</c:v>
                </c:pt>
                <c:pt idx="91">
                  <c:v>226.6806573375284</c:v>
                </c:pt>
                <c:pt idx="92">
                  <c:v>225.81712671835598</c:v>
                </c:pt>
                <c:pt idx="93">
                  <c:v>226.61714997624702</c:v>
                </c:pt>
                <c:pt idx="94">
                  <c:v>224.50430011639432</c:v>
                </c:pt>
                <c:pt idx="95">
                  <c:v>225.05445033178657</c:v>
                </c:pt>
                <c:pt idx="96">
                  <c:v>224.32091057806284</c:v>
                </c:pt>
                <c:pt idx="97">
                  <c:v>223.58732971684933</c:v>
                </c:pt>
                <c:pt idx="98">
                  <c:v>222.62941730418467</c:v>
                </c:pt>
                <c:pt idx="99">
                  <c:v>225.00824195996051</c:v>
                </c:pt>
                <c:pt idx="100">
                  <c:v>221.96628944602048</c:v>
                </c:pt>
                <c:pt idx="101">
                  <c:v>223.75479719249788</c:v>
                </c:pt>
                <c:pt idx="102">
                  <c:v>224.03712215695907</c:v>
                </c:pt>
                <c:pt idx="103">
                  <c:v>222.19109120677402</c:v>
                </c:pt>
                <c:pt idx="104">
                  <c:v>222.9320444715926</c:v>
                </c:pt>
                <c:pt idx="105">
                  <c:v>221.05173490628707</c:v>
                </c:pt>
                <c:pt idx="106">
                  <c:v>221.86655727225056</c:v>
                </c:pt>
                <c:pt idx="107">
                  <c:v>218.90439046240598</c:v>
                </c:pt>
                <c:pt idx="108">
                  <c:v>220.74963269955578</c:v>
                </c:pt>
                <c:pt idx="109">
                  <c:v>222.3094605588021</c:v>
                </c:pt>
                <c:pt idx="110">
                  <c:v>220.09167135794701</c:v>
                </c:pt>
                <c:pt idx="111">
                  <c:v>220.24989204594658</c:v>
                </c:pt>
                <c:pt idx="112">
                  <c:v>218.48891831837508</c:v>
                </c:pt>
                <c:pt idx="113">
                  <c:v>218.12317401272153</c:v>
                </c:pt>
                <c:pt idx="114">
                  <c:v>216.94399960591238</c:v>
                </c:pt>
                <c:pt idx="115">
                  <c:v>216.53624633120927</c:v>
                </c:pt>
                <c:pt idx="116">
                  <c:v>218.42081186415922</c:v>
                </c:pt>
                <c:pt idx="117">
                  <c:v>216.75190160895787</c:v>
                </c:pt>
                <c:pt idx="118">
                  <c:v>213.80756233851815</c:v>
                </c:pt>
                <c:pt idx="119">
                  <c:v>214.71766081102714</c:v>
                </c:pt>
                <c:pt idx="120">
                  <c:v>215.1162523258744</c:v>
                </c:pt>
                <c:pt idx="121">
                  <c:v>211.85421357728706</c:v>
                </c:pt>
                <c:pt idx="122">
                  <c:v>211.84856003365852</c:v>
                </c:pt>
                <c:pt idx="123">
                  <c:v>210.0226548631847</c:v>
                </c:pt>
                <c:pt idx="124">
                  <c:v>211.22181485115229</c:v>
                </c:pt>
                <c:pt idx="125">
                  <c:v>210.41255166616401</c:v>
                </c:pt>
                <c:pt idx="126">
                  <c:v>208.15921529852434</c:v>
                </c:pt>
                <c:pt idx="127">
                  <c:v>208.49942662079346</c:v>
                </c:pt>
                <c:pt idx="128">
                  <c:v>208.21255900848979</c:v>
                </c:pt>
                <c:pt idx="129">
                  <c:v>207.83675344382644</c:v>
                </c:pt>
                <c:pt idx="130">
                  <c:v>207.64531811704191</c:v>
                </c:pt>
                <c:pt idx="131">
                  <c:v>207.02315517078668</c:v>
                </c:pt>
                <c:pt idx="132">
                  <c:v>207.5852048740457</c:v>
                </c:pt>
                <c:pt idx="133">
                  <c:v>206.29740436098695</c:v>
                </c:pt>
                <c:pt idx="134">
                  <c:v>205.34503397118269</c:v>
                </c:pt>
                <c:pt idx="135">
                  <c:v>205.39390921218654</c:v>
                </c:pt>
                <c:pt idx="136">
                  <c:v>203.98771894508667</c:v>
                </c:pt>
                <c:pt idx="137">
                  <c:v>205.07095364403131</c:v>
                </c:pt>
                <c:pt idx="138">
                  <c:v>205.27504845945538</c:v>
                </c:pt>
                <c:pt idx="139">
                  <c:v>202.2576265036497</c:v>
                </c:pt>
                <c:pt idx="140">
                  <c:v>203.05661029634274</c:v>
                </c:pt>
                <c:pt idx="141">
                  <c:v>203.02469764247152</c:v>
                </c:pt>
                <c:pt idx="142">
                  <c:v>203.28729499182819</c:v>
                </c:pt>
                <c:pt idx="143">
                  <c:v>203.97153384830469</c:v>
                </c:pt>
                <c:pt idx="144">
                  <c:v>203.54906346958947</c:v>
                </c:pt>
                <c:pt idx="145">
                  <c:v>201.90292165682314</c:v>
                </c:pt>
                <c:pt idx="146">
                  <c:v>202.82515504769952</c:v>
                </c:pt>
                <c:pt idx="147">
                  <c:v>202.0448483713206</c:v>
                </c:pt>
                <c:pt idx="148">
                  <c:v>201.7432914263043</c:v>
                </c:pt>
                <c:pt idx="149">
                  <c:v>199.70029861603712</c:v>
                </c:pt>
                <c:pt idx="150">
                  <c:v>200.64806347770664</c:v>
                </c:pt>
                <c:pt idx="151">
                  <c:v>202.02320657718118</c:v>
                </c:pt>
                <c:pt idx="152">
                  <c:v>199.83100352745493</c:v>
                </c:pt>
                <c:pt idx="153">
                  <c:v>197.84241456020595</c:v>
                </c:pt>
                <c:pt idx="154">
                  <c:v>199.40056439300105</c:v>
                </c:pt>
                <c:pt idx="155">
                  <c:v>199.62216994805055</c:v>
                </c:pt>
                <c:pt idx="156">
                  <c:v>199.72436105249693</c:v>
                </c:pt>
                <c:pt idx="157">
                  <c:v>197.53973393631634</c:v>
                </c:pt>
                <c:pt idx="158">
                  <c:v>200.86120783656793</c:v>
                </c:pt>
                <c:pt idx="159">
                  <c:v>196.70186007977546</c:v>
                </c:pt>
                <c:pt idx="160">
                  <c:v>198.56773839973306</c:v>
                </c:pt>
                <c:pt idx="161">
                  <c:v>196.9243420802965</c:v>
                </c:pt>
                <c:pt idx="162">
                  <c:v>197.79475456227877</c:v>
                </c:pt>
                <c:pt idx="163">
                  <c:v>199.13522187110772</c:v>
                </c:pt>
                <c:pt idx="164">
                  <c:v>198.38851143991502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C0-43AF-AA50-3CE157AF4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441592"/>
        <c:axId val="446440936"/>
      </c:scatterChart>
      <c:valAx>
        <c:axId val="44644159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0936"/>
        <c:crosses val="autoZero"/>
        <c:crossBetween val="midCat"/>
        <c:majorUnit val="1"/>
        <c:minorUnit val="1"/>
      </c:valAx>
      <c:valAx>
        <c:axId val="446440936"/>
        <c:scaling>
          <c:orientation val="minMax"/>
          <c:max val="260"/>
          <c:min val="1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dO</a:t>
                </a:r>
                <a:r>
                  <a:rPr lang="en-US" sz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 (µM)</a:t>
                </a:r>
              </a:p>
            </c:rich>
          </c:tx>
          <c:layout>
            <c:manualLayout>
              <c:xMode val="edge"/>
              <c:yMode val="edge"/>
              <c:x val="8.2934162090852071E-4"/>
              <c:y val="0.38641981672194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46441592"/>
        <c:crosses val="autoZero"/>
        <c:crossBetween val="midCat"/>
        <c:majorUnit val="20"/>
        <c:min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266936354977241"/>
          <c:y val="0.58552116672079391"/>
          <c:w val="0.48523708675516297"/>
          <c:h val="0.24899985738223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145676</xdr:colOff>
      <xdr:row>0</xdr:row>
      <xdr:rowOff>167528</xdr:rowOff>
    </xdr:from>
    <xdr:to>
      <xdr:col>19</xdr:col>
      <xdr:colOff>155201</xdr:colOff>
      <xdr:row>10</xdr:row>
      <xdr:rowOff>148477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137272</xdr:colOff>
      <xdr:row>11</xdr:row>
      <xdr:rowOff>177051</xdr:rowOff>
    </xdr:from>
    <xdr:to>
      <xdr:col>19</xdr:col>
      <xdr:colOff>118223</xdr:colOff>
      <xdr:row>21</xdr:row>
      <xdr:rowOff>91326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75079</xdr:colOff>
      <xdr:row>23</xdr:row>
      <xdr:rowOff>21852</xdr:rowOff>
    </xdr:from>
    <xdr:to>
      <xdr:col>19</xdr:col>
      <xdr:colOff>75079</xdr:colOff>
      <xdr:row>33</xdr:row>
      <xdr:rowOff>21852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108697</xdr:colOff>
      <xdr:row>34</xdr:row>
      <xdr:rowOff>15128</xdr:rowOff>
    </xdr:from>
    <xdr:to>
      <xdr:col>19</xdr:col>
      <xdr:colOff>108698</xdr:colOff>
      <xdr:row>44</xdr:row>
      <xdr:rowOff>15128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D1BCC6B4-6066-4A22-89B3-7467A0F11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128229</xdr:colOff>
      <xdr:row>0</xdr:row>
      <xdr:rowOff>171650</xdr:rowOff>
    </xdr:from>
    <xdr:to>
      <xdr:col>29</xdr:col>
      <xdr:colOff>560294</xdr:colOff>
      <xdr:row>8</xdr:row>
      <xdr:rowOff>157362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7C68D87F-8FF8-EC6F-9862-1B4AA4CBF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137833</xdr:colOff>
      <xdr:row>12</xdr:row>
      <xdr:rowOff>9525</xdr:rowOff>
    </xdr:from>
    <xdr:to>
      <xdr:col>29</xdr:col>
      <xdr:colOff>672354</xdr:colOff>
      <xdr:row>19</xdr:row>
      <xdr:rowOff>185737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4BB1263E-E7C6-4629-84E3-631453AC3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123266</xdr:colOff>
      <xdr:row>22</xdr:row>
      <xdr:rowOff>178733</xdr:rowOff>
    </xdr:from>
    <xdr:to>
      <xdr:col>29</xdr:col>
      <xdr:colOff>705971</xdr:colOff>
      <xdr:row>30</xdr:row>
      <xdr:rowOff>164445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F095B212-F2AB-4007-AFA2-6F2617355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95250</xdr:colOff>
      <xdr:row>34</xdr:row>
      <xdr:rowOff>560</xdr:rowOff>
    </xdr:from>
    <xdr:to>
      <xdr:col>29</xdr:col>
      <xdr:colOff>616322</xdr:colOff>
      <xdr:row>41</xdr:row>
      <xdr:rowOff>176772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440B4F18-D4D2-40C9-B5E0-24DA3BEE1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221876</xdr:colOff>
      <xdr:row>0</xdr:row>
      <xdr:rowOff>167528</xdr:rowOff>
    </xdr:from>
    <xdr:to>
      <xdr:col>22</xdr:col>
      <xdr:colOff>579344</xdr:colOff>
      <xdr:row>10</xdr:row>
      <xdr:rowOff>148477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FFA76D52-847E-4370-8DD8-F1857B651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196104</xdr:colOff>
      <xdr:row>11</xdr:row>
      <xdr:rowOff>170889</xdr:rowOff>
    </xdr:from>
    <xdr:to>
      <xdr:col>22</xdr:col>
      <xdr:colOff>553572</xdr:colOff>
      <xdr:row>21</xdr:row>
      <xdr:rowOff>151838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D9E806CC-E63A-4D94-9890-AD46E7B53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164166</xdr:colOff>
      <xdr:row>23</xdr:row>
      <xdr:rowOff>23532</xdr:rowOff>
    </xdr:from>
    <xdr:to>
      <xdr:col>22</xdr:col>
      <xdr:colOff>521634</xdr:colOff>
      <xdr:row>33</xdr:row>
      <xdr:rowOff>4481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849BAE89-33F9-4AB2-86B1-6840B8B2D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175372</xdr:colOff>
      <xdr:row>34</xdr:row>
      <xdr:rowOff>15128</xdr:rowOff>
    </xdr:from>
    <xdr:to>
      <xdr:col>22</xdr:col>
      <xdr:colOff>532840</xdr:colOff>
      <xdr:row>43</xdr:row>
      <xdr:rowOff>186577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B65A2958-9AE2-49C1-95CA-D54EEF0B5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409177</xdr:colOff>
      <xdr:row>2</xdr:row>
      <xdr:rowOff>164247</xdr:rowOff>
    </xdr:from>
    <xdr:to>
      <xdr:col>14</xdr:col>
      <xdr:colOff>1008530</xdr:colOff>
      <xdr:row>19</xdr:row>
      <xdr:rowOff>88046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FB899A31-956D-4833-8524-642430165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6"/>
  <sheetViews>
    <sheetView tabSelected="1" zoomScale="85" zoomScaleNormal="85" workbookViewId="0">
      <selection activeCell="N27" sqref="N27"/>
    </sheetView>
  </sheetViews>
  <sheetFormatPr defaultRowHeight="15" x14ac:dyDescent="0.25"/>
  <cols>
    <col min="2" max="2" width="8.28515625" bestFit="1" customWidth="1"/>
    <col min="4" max="4" width="11.42578125" bestFit="1" customWidth="1"/>
    <col min="5" max="5" width="11.42578125" customWidth="1"/>
    <col min="6" max="6" width="12" bestFit="1" customWidth="1"/>
    <col min="7" max="7" width="11.42578125" style="2" bestFit="1" customWidth="1"/>
    <col min="8" max="8" width="11.5703125" style="2" bestFit="1" customWidth="1"/>
    <col min="9" max="9" width="11.28515625" style="2" bestFit="1" customWidth="1"/>
    <col min="10" max="10" width="11.28515625" bestFit="1" customWidth="1"/>
    <col min="11" max="11" width="4.7109375" customWidth="1"/>
    <col min="12" max="12" width="15.42578125" style="5" bestFit="1" customWidth="1"/>
    <col min="13" max="13" width="14.5703125" bestFit="1" customWidth="1"/>
    <col min="14" max="14" width="20.85546875" bestFit="1" customWidth="1"/>
    <col min="15" max="15" width="23.28515625" bestFit="1" customWidth="1"/>
    <col min="16" max="16" width="5.28515625" customWidth="1"/>
    <col min="25" max="25" width="18.140625" bestFit="1" customWidth="1"/>
    <col min="26" max="26" width="23.7109375" bestFit="1" customWidth="1"/>
    <col min="27" max="27" width="24" bestFit="1" customWidth="1"/>
    <col min="29" max="30" width="16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6</v>
      </c>
      <c r="G1" s="2" t="s">
        <v>7</v>
      </c>
      <c r="H1" s="2" t="s">
        <v>3</v>
      </c>
      <c r="I1" s="2" t="s">
        <v>8</v>
      </c>
      <c r="J1" s="2" t="s">
        <v>9</v>
      </c>
      <c r="K1" s="2"/>
      <c r="L1" s="4" t="s">
        <v>16</v>
      </c>
      <c r="M1" s="2" t="s">
        <v>14</v>
      </c>
      <c r="N1" s="2" t="s">
        <v>19</v>
      </c>
      <c r="O1" s="2" t="s">
        <v>15</v>
      </c>
      <c r="P1" s="2"/>
      <c r="AH1" s="13" t="s">
        <v>17</v>
      </c>
    </row>
    <row r="2" spans="1:34" x14ac:dyDescent="0.25">
      <c r="A2">
        <v>1532</v>
      </c>
      <c r="B2" s="11">
        <v>6.9999899999999999E-8</v>
      </c>
      <c r="C2" s="11">
        <v>0</v>
      </c>
      <c r="D2" s="11">
        <f>C2/$C$11</f>
        <v>0</v>
      </c>
      <c r="E2" s="11"/>
      <c r="F2" s="12">
        <f>A2/60000</f>
        <v>2.5533333333333335E-2</v>
      </c>
      <c r="G2" s="10">
        <f>B2</f>
        <v>6.9999899999999999E-8</v>
      </c>
      <c r="H2" s="10"/>
      <c r="I2" s="10"/>
      <c r="J2" s="10"/>
      <c r="Y2" s="7" t="s">
        <v>6</v>
      </c>
      <c r="Z2" s="7" t="s">
        <v>11</v>
      </c>
      <c r="AA2" s="7" t="s">
        <v>12</v>
      </c>
    </row>
    <row r="3" spans="1:34" x14ac:dyDescent="0.25">
      <c r="A3">
        <v>1735</v>
      </c>
      <c r="B3" s="11">
        <v>7.0312300000000004E-8</v>
      </c>
      <c r="C3" s="11">
        <v>3.3593700000000002E-9</v>
      </c>
      <c r="D3" s="11">
        <f t="shared" ref="D3:D10" si="0">C3/$C$11</f>
        <v>1.1379825476619558</v>
      </c>
      <c r="E3" s="11">
        <f>C3/$C$3</f>
        <v>1</v>
      </c>
      <c r="F3" s="12">
        <f t="shared" ref="F3:F66" si="1">A3/60000</f>
        <v>2.8916666666666667E-2</v>
      </c>
      <c r="G3" s="10">
        <f t="shared" ref="G3:G66" si="2">B3</f>
        <v>7.0312300000000004E-8</v>
      </c>
      <c r="H3" s="10">
        <f>B3/C3</f>
        <v>20.930204175187608</v>
      </c>
      <c r="I3" s="10">
        <f>B3/D3</f>
        <v>6.1786799933320837E-8</v>
      </c>
      <c r="J3" s="10">
        <f>B3/E3</f>
        <v>7.0312300000000004E-8</v>
      </c>
      <c r="K3" s="2"/>
      <c r="L3" s="6">
        <f>G3*3790000000-0.379</f>
        <v>266.10461700000002</v>
      </c>
      <c r="M3" s="6">
        <f>H3*11.35-0.001</f>
        <v>237.55681738837933</v>
      </c>
      <c r="N3" s="6">
        <f>I3*3900000000-3.9</f>
        <v>237.06851973995126</v>
      </c>
      <c r="O3" s="6">
        <f>J3*3400000000-3.9</f>
        <v>235.16182000000001</v>
      </c>
      <c r="P3" s="2"/>
      <c r="Y3" s="7">
        <v>1</v>
      </c>
      <c r="Z3" s="8">
        <v>6.6565920000000003E-8</v>
      </c>
      <c r="AA3" s="14">
        <v>252</v>
      </c>
    </row>
    <row r="4" spans="1:34" x14ac:dyDescent="0.25">
      <c r="A4">
        <v>5052</v>
      </c>
      <c r="B4" s="11">
        <v>6.6249899999999996E-8</v>
      </c>
      <c r="C4" s="11">
        <v>2.4187399999999999E-9</v>
      </c>
      <c r="D4" s="11">
        <f t="shared" si="0"/>
        <v>0.81934526632430449</v>
      </c>
      <c r="E4" s="11">
        <f t="shared" ref="E4:E67" si="3">C4/$C$3</f>
        <v>0.71999809488088529</v>
      </c>
      <c r="F4" s="12">
        <f t="shared" si="1"/>
        <v>8.4199999999999997E-2</v>
      </c>
      <c r="G4" s="10">
        <f t="shared" si="2"/>
        <v>6.6249899999999996E-8</v>
      </c>
      <c r="H4" s="10">
        <f>B4/C4</f>
        <v>27.390252776238867</v>
      </c>
      <c r="I4" s="10">
        <f t="shared" ref="I4:I67" si="4">B4/D4</f>
        <v>8.0857121805568193E-8</v>
      </c>
      <c r="J4" s="10">
        <f t="shared" ref="J4:J67" si="5">B4/E4</f>
        <v>9.2013993468913582E-8</v>
      </c>
      <c r="K4" s="2"/>
      <c r="L4" s="6">
        <f t="shared" ref="L4:L67" si="6">G4*3790000000-0.379</f>
        <v>250.70812100000001</v>
      </c>
      <c r="M4" s="6">
        <f t="shared" ref="M4:M67" si="7">H4*11.35-0.001</f>
        <v>310.87836901031113</v>
      </c>
      <c r="N4" s="6">
        <f t="shared" ref="N4:N67" si="8">I4*3900000000-3.9</f>
        <v>311.44277504171595</v>
      </c>
      <c r="O4" s="6">
        <f t="shared" ref="O4:O67" si="9">J4*3400000000-3.9</f>
        <v>308.9475777943062</v>
      </c>
      <c r="P4" s="2"/>
      <c r="Y4" s="7" t="s">
        <v>18</v>
      </c>
      <c r="Z4" s="8">
        <v>1E-10</v>
      </c>
      <c r="AA4" s="7">
        <v>0</v>
      </c>
    </row>
    <row r="5" spans="1:34" x14ac:dyDescent="0.25">
      <c r="A5">
        <v>6013</v>
      </c>
      <c r="B5" s="11">
        <v>6.6147399999999998E-8</v>
      </c>
      <c r="C5" s="11">
        <v>2.98257E-9</v>
      </c>
      <c r="D5" s="11">
        <f t="shared" si="0"/>
        <v>1.0103420007858972</v>
      </c>
      <c r="E5" s="11">
        <f t="shared" si="3"/>
        <v>0.88783611212816682</v>
      </c>
      <c r="F5" s="12">
        <f t="shared" si="1"/>
        <v>0.10021666666666666</v>
      </c>
      <c r="G5" s="10">
        <f t="shared" si="2"/>
        <v>6.6147399999999998E-8</v>
      </c>
      <c r="H5" s="10">
        <f>B5/C5</f>
        <v>22.177987440361836</v>
      </c>
      <c r="I5" s="10">
        <f t="shared" si="4"/>
        <v>6.5470306043445751E-8</v>
      </c>
      <c r="J5" s="10">
        <f t="shared" si="5"/>
        <v>7.4504065667528349E-8</v>
      </c>
      <c r="K5" s="2"/>
      <c r="L5" s="6">
        <f t="shared" si="6"/>
        <v>250.31964600000001</v>
      </c>
      <c r="M5" s="6">
        <f t="shared" si="7"/>
        <v>251.71915744810681</v>
      </c>
      <c r="N5" s="6">
        <f t="shared" si="8"/>
        <v>251.43419356943843</v>
      </c>
      <c r="O5" s="6">
        <f t="shared" si="9"/>
        <v>249.41382326959638</v>
      </c>
      <c r="P5" s="2"/>
    </row>
    <row r="6" spans="1:34" x14ac:dyDescent="0.25">
      <c r="A6">
        <v>7725</v>
      </c>
      <c r="B6" s="11">
        <v>6.6167699999999998E-8</v>
      </c>
      <c r="C6" s="11">
        <v>2.98028E-9</v>
      </c>
      <c r="D6" s="11">
        <f t="shared" si="0"/>
        <v>1.0095662660397555</v>
      </c>
      <c r="E6" s="11">
        <f t="shared" si="3"/>
        <v>0.88715443669497551</v>
      </c>
      <c r="F6" s="12">
        <f t="shared" si="1"/>
        <v>0.12875</v>
      </c>
      <c r="G6" s="10">
        <f t="shared" si="2"/>
        <v>6.6167699999999998E-8</v>
      </c>
      <c r="H6" s="10">
        <f>B6/C6</f>
        <v>22.20184009556149</v>
      </c>
      <c r="I6" s="10">
        <f t="shared" si="4"/>
        <v>6.5540720035701348E-8</v>
      </c>
      <c r="J6" s="10">
        <f t="shared" si="5"/>
        <v>7.45841955618264E-8</v>
      </c>
      <c r="K6" s="2"/>
      <c r="L6" s="6">
        <f t="shared" si="6"/>
        <v>250.39658299999999</v>
      </c>
      <c r="M6" s="6">
        <f t="shared" si="7"/>
        <v>251.9898850846229</v>
      </c>
      <c r="N6" s="6">
        <f t="shared" si="8"/>
        <v>251.70880813923526</v>
      </c>
      <c r="O6" s="6">
        <f t="shared" si="9"/>
        <v>249.68626491020976</v>
      </c>
      <c r="P6" s="2"/>
      <c r="Y6" s="7" t="s">
        <v>6</v>
      </c>
      <c r="Z6" s="7" t="s">
        <v>11</v>
      </c>
      <c r="AA6" s="7" t="s">
        <v>13</v>
      </c>
    </row>
    <row r="7" spans="1:34" x14ac:dyDescent="0.25">
      <c r="A7">
        <v>11437</v>
      </c>
      <c r="B7" s="11">
        <v>6.5985700000000003E-8</v>
      </c>
      <c r="C7" s="11">
        <v>2.9983399999999998E-9</v>
      </c>
      <c r="D7" s="11">
        <f t="shared" si="0"/>
        <v>1.0156840693215539</v>
      </c>
      <c r="E7" s="11">
        <f t="shared" si="3"/>
        <v>0.89253044469647569</v>
      </c>
      <c r="F7" s="12">
        <f t="shared" si="1"/>
        <v>0.19061666666666666</v>
      </c>
      <c r="G7" s="10">
        <f t="shared" si="2"/>
        <v>6.5985700000000003E-8</v>
      </c>
      <c r="H7" s="10">
        <f t="shared" ref="H7:H67" si="10">B7/C7</f>
        <v>22.007410767291237</v>
      </c>
      <c r="I7" s="10">
        <f t="shared" si="4"/>
        <v>6.4966756881474422E-8</v>
      </c>
      <c r="J7" s="10">
        <f t="shared" si="5"/>
        <v>7.3931035509315164E-8</v>
      </c>
      <c r="K7" s="2"/>
      <c r="L7" s="6">
        <f t="shared" si="6"/>
        <v>249.70680300000001</v>
      </c>
      <c r="M7" s="6">
        <f t="shared" si="7"/>
        <v>249.78311220875554</v>
      </c>
      <c r="N7" s="6">
        <f t="shared" si="8"/>
        <v>249.47035183775023</v>
      </c>
      <c r="O7" s="6">
        <f t="shared" si="9"/>
        <v>247.46552073167155</v>
      </c>
      <c r="P7" s="2"/>
      <c r="Y7" s="7">
        <v>4</v>
      </c>
      <c r="Z7" s="8">
        <v>6.1523399999999996E-8</v>
      </c>
      <c r="AA7" s="9">
        <f>$AA$3*Z7/$Z$3</f>
        <v>232.91042623612799</v>
      </c>
    </row>
    <row r="8" spans="1:34" x14ac:dyDescent="0.25">
      <c r="A8">
        <v>15149</v>
      </c>
      <c r="B8" s="11">
        <v>6.5944300000000001E-8</v>
      </c>
      <c r="C8" s="11">
        <v>2.9460799999999998E-9</v>
      </c>
      <c r="D8" s="11">
        <f t="shared" si="0"/>
        <v>0.99798105716724694</v>
      </c>
      <c r="E8" s="11">
        <f t="shared" si="3"/>
        <v>0.87697395642635367</v>
      </c>
      <c r="F8" s="12">
        <f t="shared" si="1"/>
        <v>0.25248333333333334</v>
      </c>
      <c r="G8" s="10">
        <f t="shared" si="2"/>
        <v>6.5944300000000001E-8</v>
      </c>
      <c r="H8" s="10">
        <f t="shared" si="10"/>
        <v>22.383743822299465</v>
      </c>
      <c r="I8" s="10">
        <f t="shared" si="4"/>
        <v>6.6077707113180913E-8</v>
      </c>
      <c r="J8" s="10">
        <f t="shared" si="5"/>
        <v>7.5195277484318158E-8</v>
      </c>
      <c r="K8" s="2"/>
      <c r="L8" s="6">
        <f t="shared" si="6"/>
        <v>249.54989700000002</v>
      </c>
      <c r="M8" s="6">
        <f t="shared" si="7"/>
        <v>254.0544923830989</v>
      </c>
      <c r="N8" s="6">
        <f t="shared" si="8"/>
        <v>253.80305774140558</v>
      </c>
      <c r="O8" s="6">
        <f t="shared" si="9"/>
        <v>251.76394344668174</v>
      </c>
      <c r="P8" s="2"/>
      <c r="Y8" s="7">
        <v>6</v>
      </c>
      <c r="Z8" s="8">
        <v>5.7003700000000002E-8</v>
      </c>
      <c r="AA8" s="9">
        <f>$AA$3*Z8/$Z$3</f>
        <v>215.80010311582865</v>
      </c>
      <c r="AF8" s="1"/>
    </row>
    <row r="9" spans="1:34" x14ac:dyDescent="0.25">
      <c r="A9">
        <v>18861</v>
      </c>
      <c r="B9" s="11">
        <v>6.6014800000000002E-8</v>
      </c>
      <c r="C9" s="11">
        <v>2.9782999999999999E-9</v>
      </c>
      <c r="D9" s="11">
        <f t="shared" si="0"/>
        <v>1.0088955434208209</v>
      </c>
      <c r="E9" s="11">
        <f t="shared" si="3"/>
        <v>0.88656504046889739</v>
      </c>
      <c r="F9" s="12">
        <f t="shared" si="1"/>
        <v>0.31435000000000002</v>
      </c>
      <c r="G9" s="10">
        <f t="shared" si="2"/>
        <v>6.6014800000000002E-8</v>
      </c>
      <c r="H9" s="10">
        <f t="shared" si="10"/>
        <v>22.165262062250278</v>
      </c>
      <c r="I9" s="10">
        <f t="shared" si="4"/>
        <v>6.5432740218245302E-8</v>
      </c>
      <c r="J9" s="10">
        <f t="shared" si="5"/>
        <v>7.4461316414061722E-8</v>
      </c>
      <c r="K9" s="2"/>
      <c r="L9" s="6">
        <f t="shared" si="6"/>
        <v>249.817092</v>
      </c>
      <c r="M9" s="6">
        <f t="shared" si="7"/>
        <v>251.57472440654064</v>
      </c>
      <c r="N9" s="6">
        <f t="shared" si="8"/>
        <v>251.28768685115668</v>
      </c>
      <c r="O9" s="6">
        <f t="shared" si="9"/>
        <v>249.26847580780984</v>
      </c>
      <c r="P9" s="2"/>
      <c r="Y9" s="7">
        <v>8</v>
      </c>
      <c r="Z9" s="8">
        <v>5.2019399999999999E-8</v>
      </c>
      <c r="AA9" s="9">
        <f>$AA$3*Z9/$Z$3</f>
        <v>196.93093402750233</v>
      </c>
      <c r="AF9" s="1"/>
    </row>
    <row r="10" spans="1:34" x14ac:dyDescent="0.25">
      <c r="A10">
        <v>22573</v>
      </c>
      <c r="B10" s="11">
        <v>6.6053700000000001E-8</v>
      </c>
      <c r="C10" s="11">
        <v>2.9773799999999999E-9</v>
      </c>
      <c r="D10" s="11">
        <f t="shared" si="0"/>
        <v>1.0085838945271743</v>
      </c>
      <c r="E10" s="11">
        <f t="shared" si="3"/>
        <v>0.88629117959617421</v>
      </c>
      <c r="F10" s="12">
        <f t="shared" si="1"/>
        <v>0.37621666666666664</v>
      </c>
      <c r="G10" s="10">
        <f t="shared" si="2"/>
        <v>6.6053700000000001E-8</v>
      </c>
      <c r="H10" s="10">
        <f t="shared" si="10"/>
        <v>22.185176228764888</v>
      </c>
      <c r="I10" s="10">
        <f t="shared" si="4"/>
        <v>6.5491527634363098E-8</v>
      </c>
      <c r="J10" s="10">
        <f t="shared" si="5"/>
        <v>7.4528215467625903E-8</v>
      </c>
      <c r="K10" s="2"/>
      <c r="L10" s="6">
        <f t="shared" si="6"/>
        <v>249.96452300000001</v>
      </c>
      <c r="M10" s="6">
        <f t="shared" si="7"/>
        <v>251.80075019648146</v>
      </c>
      <c r="N10" s="6">
        <f t="shared" si="8"/>
        <v>251.51695777401608</v>
      </c>
      <c r="O10" s="6">
        <f t="shared" si="9"/>
        <v>249.49593258992806</v>
      </c>
      <c r="P10" s="2"/>
    </row>
    <row r="11" spans="1:34" x14ac:dyDescent="0.25">
      <c r="A11">
        <v>26285</v>
      </c>
      <c r="B11" s="11">
        <v>6.6088800000000006E-8</v>
      </c>
      <c r="C11" s="11">
        <v>2.9520400000000001E-9</v>
      </c>
      <c r="D11" s="11">
        <f>C11/$C$11</f>
        <v>1</v>
      </c>
      <c r="E11" s="11">
        <f t="shared" si="3"/>
        <v>0.87874809860182113</v>
      </c>
      <c r="F11" s="12">
        <f t="shared" si="1"/>
        <v>0.43808333333333332</v>
      </c>
      <c r="G11" s="10">
        <f t="shared" si="2"/>
        <v>6.6088800000000006E-8</v>
      </c>
      <c r="H11" s="10">
        <f t="shared" si="10"/>
        <v>22.38750152436959</v>
      </c>
      <c r="I11" s="10">
        <f t="shared" si="4"/>
        <v>6.6088800000000006E-8</v>
      </c>
      <c r="J11" s="10">
        <f t="shared" si="5"/>
        <v>7.5207900995921476E-8</v>
      </c>
      <c r="K11" s="2"/>
      <c r="L11" s="6">
        <f t="shared" si="6"/>
        <v>250.09755200000004</v>
      </c>
      <c r="M11" s="6">
        <f t="shared" si="7"/>
        <v>254.09714230159483</v>
      </c>
      <c r="N11" s="6">
        <f t="shared" si="8"/>
        <v>253.84632000000002</v>
      </c>
      <c r="O11" s="6">
        <f t="shared" si="9"/>
        <v>251.80686338613302</v>
      </c>
      <c r="P11" s="2"/>
    </row>
    <row r="12" spans="1:34" x14ac:dyDescent="0.25">
      <c r="A12">
        <v>29997</v>
      </c>
      <c r="B12" s="11">
        <v>6.6149099999999998E-8</v>
      </c>
      <c r="C12" s="11">
        <v>2.9571600000000002E-9</v>
      </c>
      <c r="D12" s="11">
        <f t="shared" ref="D12:D75" si="11">C12/$C$11</f>
        <v>1.001734393842902</v>
      </c>
      <c r="E12" s="11">
        <f t="shared" si="3"/>
        <v>0.88027219389349787</v>
      </c>
      <c r="F12" s="12">
        <f t="shared" si="1"/>
        <v>0.49995000000000001</v>
      </c>
      <c r="G12" s="10">
        <f t="shared" si="2"/>
        <v>6.6149099999999998E-8</v>
      </c>
      <c r="H12" s="10">
        <f t="shared" si="10"/>
        <v>22.369131193442357</v>
      </c>
      <c r="I12" s="10">
        <f t="shared" si="4"/>
        <v>6.6034570048289571E-8</v>
      </c>
      <c r="J12" s="10">
        <f t="shared" si="5"/>
        <v>7.5146188257314445E-8</v>
      </c>
      <c r="K12" s="2"/>
      <c r="L12" s="6">
        <f t="shared" si="6"/>
        <v>250.326089</v>
      </c>
      <c r="M12" s="6">
        <f t="shared" si="7"/>
        <v>253.88863904557073</v>
      </c>
      <c r="N12" s="6">
        <f t="shared" si="8"/>
        <v>253.63482318832931</v>
      </c>
      <c r="O12" s="6">
        <f t="shared" si="9"/>
        <v>251.59704007486911</v>
      </c>
      <c r="P12" s="2"/>
      <c r="AA12" s="3"/>
    </row>
    <row r="13" spans="1:34" x14ac:dyDescent="0.25">
      <c r="A13">
        <v>33709</v>
      </c>
      <c r="B13" s="11">
        <v>6.6076399999999997E-8</v>
      </c>
      <c r="C13" s="11">
        <v>2.9436499999999999E-9</v>
      </c>
      <c r="D13" s="11">
        <f t="shared" si="11"/>
        <v>0.99715789758946349</v>
      </c>
      <c r="E13" s="11">
        <f t="shared" si="3"/>
        <v>0.87625060651253051</v>
      </c>
      <c r="F13" s="12">
        <f t="shared" si="1"/>
        <v>0.56181666666666663</v>
      </c>
      <c r="G13" s="10">
        <f t="shared" si="2"/>
        <v>6.6076399999999997E-8</v>
      </c>
      <c r="H13" s="10">
        <f t="shared" si="10"/>
        <v>22.447097990589914</v>
      </c>
      <c r="I13" s="10">
        <f t="shared" si="4"/>
        <v>6.6264731152141049E-8</v>
      </c>
      <c r="J13" s="10">
        <f t="shared" si="5"/>
        <v>7.540810757664804E-8</v>
      </c>
      <c r="K13" s="2"/>
      <c r="L13" s="6">
        <f t="shared" si="6"/>
        <v>250.050556</v>
      </c>
      <c r="M13" s="6">
        <f t="shared" si="7"/>
        <v>254.77356219319552</v>
      </c>
      <c r="N13" s="6">
        <f t="shared" si="8"/>
        <v>254.53245149335007</v>
      </c>
      <c r="O13" s="6">
        <f t="shared" si="9"/>
        <v>252.4875657606033</v>
      </c>
      <c r="P13" s="2"/>
      <c r="Y13" s="7" t="s">
        <v>6</v>
      </c>
      <c r="Z13" s="7" t="s">
        <v>11</v>
      </c>
      <c r="AA13" s="7" t="s">
        <v>10</v>
      </c>
    </row>
    <row r="14" spans="1:34" x14ac:dyDescent="0.25">
      <c r="A14">
        <v>37421</v>
      </c>
      <c r="B14" s="11">
        <v>6.6088800000000006E-8</v>
      </c>
      <c r="C14" s="11">
        <v>2.9773799999999999E-9</v>
      </c>
      <c r="D14" s="11">
        <f t="shared" si="11"/>
        <v>1.0085838945271743</v>
      </c>
      <c r="E14" s="11">
        <f t="shared" si="3"/>
        <v>0.88629117959617421</v>
      </c>
      <c r="F14" s="12">
        <f t="shared" si="1"/>
        <v>0.62368333333333337</v>
      </c>
      <c r="G14" s="10">
        <f t="shared" si="2"/>
        <v>6.6088800000000006E-8</v>
      </c>
      <c r="H14" s="10">
        <f t="shared" si="10"/>
        <v>22.196965116982046</v>
      </c>
      <c r="I14" s="10">
        <f t="shared" si="4"/>
        <v>6.552632890393568E-8</v>
      </c>
      <c r="J14" s="10">
        <f t="shared" si="5"/>
        <v>7.4567818705035985E-8</v>
      </c>
      <c r="K14" s="2"/>
      <c r="L14" s="6">
        <f t="shared" si="6"/>
        <v>250.09755200000004</v>
      </c>
      <c r="M14" s="6">
        <f t="shared" si="7"/>
        <v>251.93455407774621</v>
      </c>
      <c r="N14" s="6">
        <f t="shared" si="8"/>
        <v>251.65268272534914</v>
      </c>
      <c r="O14" s="6">
        <f t="shared" si="9"/>
        <v>249.63058359712235</v>
      </c>
      <c r="P14" s="2"/>
      <c r="Y14" s="7">
        <v>1</v>
      </c>
      <c r="Z14" s="9">
        <v>22.204000000000001</v>
      </c>
      <c r="AA14" s="14">
        <v>252</v>
      </c>
    </row>
    <row r="15" spans="1:34" x14ac:dyDescent="0.25">
      <c r="A15">
        <v>41133</v>
      </c>
      <c r="B15" s="11">
        <v>6.6142699999999996E-8</v>
      </c>
      <c r="C15" s="11">
        <v>2.9587300000000002E-9</v>
      </c>
      <c r="D15" s="11">
        <f t="shared" si="11"/>
        <v>1.0022662294548854</v>
      </c>
      <c r="E15" s="11">
        <f t="shared" si="3"/>
        <v>0.88073954342629723</v>
      </c>
      <c r="F15" s="12">
        <f t="shared" si="1"/>
        <v>0.68554999999999999</v>
      </c>
      <c r="G15" s="10">
        <f t="shared" si="2"/>
        <v>6.6142699999999996E-8</v>
      </c>
      <c r="H15" s="10">
        <f t="shared" si="10"/>
        <v>22.355098302312136</v>
      </c>
      <c r="I15" s="10">
        <f t="shared" si="4"/>
        <v>6.5993144392357527E-8</v>
      </c>
      <c r="J15" s="10">
        <f t="shared" si="5"/>
        <v>7.5099046583838328E-8</v>
      </c>
      <c r="K15" s="2"/>
      <c r="L15" s="6">
        <f t="shared" si="6"/>
        <v>250.30183299999999</v>
      </c>
      <c r="M15" s="6">
        <f t="shared" si="7"/>
        <v>253.72936573124272</v>
      </c>
      <c r="N15" s="6">
        <f t="shared" si="8"/>
        <v>253.47326313019434</v>
      </c>
      <c r="O15" s="6">
        <f t="shared" si="9"/>
        <v>251.4367583850503</v>
      </c>
      <c r="P15" s="2"/>
      <c r="Y15" s="7" t="s">
        <v>18</v>
      </c>
      <c r="Z15" s="8">
        <v>1E-4</v>
      </c>
      <c r="AA15" s="7">
        <v>0</v>
      </c>
    </row>
    <row r="16" spans="1:34" x14ac:dyDescent="0.25">
      <c r="A16">
        <v>44845</v>
      </c>
      <c r="B16" s="11">
        <v>6.6076399999999997E-8</v>
      </c>
      <c r="C16" s="11">
        <v>2.9518199999999998E-9</v>
      </c>
      <c r="D16" s="11">
        <f t="shared" si="11"/>
        <v>0.99992547526456277</v>
      </c>
      <c r="E16" s="11">
        <f t="shared" si="3"/>
        <v>0.8786826101322569</v>
      </c>
      <c r="F16" s="12">
        <f t="shared" si="1"/>
        <v>0.74741666666666662</v>
      </c>
      <c r="G16" s="10">
        <f t="shared" si="2"/>
        <v>6.6076399999999997E-8</v>
      </c>
      <c r="H16" s="10">
        <f t="shared" si="10"/>
        <v>22.384969273194166</v>
      </c>
      <c r="I16" s="10">
        <f t="shared" si="4"/>
        <v>6.6081324693240105E-8</v>
      </c>
      <c r="J16" s="10">
        <f t="shared" si="5"/>
        <v>7.5199394227290277E-8</v>
      </c>
      <c r="K16" s="2"/>
      <c r="L16" s="6">
        <f t="shared" si="6"/>
        <v>250.050556</v>
      </c>
      <c r="M16" s="6">
        <f t="shared" si="7"/>
        <v>254.06840125075377</v>
      </c>
      <c r="N16" s="6">
        <f t="shared" si="8"/>
        <v>253.81716630363641</v>
      </c>
      <c r="O16" s="6">
        <f t="shared" si="9"/>
        <v>251.77794037278693</v>
      </c>
      <c r="P16" s="2"/>
      <c r="AF16" s="1"/>
    </row>
    <row r="17" spans="1:32" x14ac:dyDescent="0.25">
      <c r="A17">
        <v>48557</v>
      </c>
      <c r="B17" s="11">
        <v>6.6128799999999999E-8</v>
      </c>
      <c r="C17" s="11">
        <v>2.9622200000000001E-9</v>
      </c>
      <c r="D17" s="11">
        <f t="shared" si="11"/>
        <v>1.0034484627579572</v>
      </c>
      <c r="E17" s="11">
        <f t="shared" si="3"/>
        <v>0.88177842869347522</v>
      </c>
      <c r="F17" s="12">
        <f t="shared" si="1"/>
        <v>0.80928333333333335</v>
      </c>
      <c r="G17" s="10">
        <f t="shared" si="2"/>
        <v>6.6128799999999999E-8</v>
      </c>
      <c r="H17" s="10">
        <f t="shared" si="10"/>
        <v>22.324067759990815</v>
      </c>
      <c r="I17" s="10">
        <f t="shared" si="4"/>
        <v>6.5901540990203289E-8</v>
      </c>
      <c r="J17" s="10">
        <f t="shared" si="5"/>
        <v>7.4994803510880356E-8</v>
      </c>
      <c r="K17" s="2"/>
      <c r="L17" s="6">
        <f t="shared" si="6"/>
        <v>250.24915200000001</v>
      </c>
      <c r="M17" s="6">
        <f t="shared" si="7"/>
        <v>253.37716907589572</v>
      </c>
      <c r="N17" s="6">
        <f t="shared" si="8"/>
        <v>253.11600986179283</v>
      </c>
      <c r="O17" s="6">
        <f t="shared" si="9"/>
        <v>251.0823319369932</v>
      </c>
      <c r="P17" s="2"/>
      <c r="Y17" s="7" t="s">
        <v>6</v>
      </c>
      <c r="Z17" s="7" t="s">
        <v>11</v>
      </c>
      <c r="AA17" s="7" t="s">
        <v>13</v>
      </c>
      <c r="AF17" s="1"/>
    </row>
    <row r="18" spans="1:32" x14ac:dyDescent="0.25">
      <c r="A18">
        <v>52269</v>
      </c>
      <c r="B18" s="11">
        <v>6.6088099999999995E-8</v>
      </c>
      <c r="C18" s="11">
        <v>2.9540800000000002E-9</v>
      </c>
      <c r="D18" s="11">
        <f t="shared" si="11"/>
        <v>1.0006910475467812</v>
      </c>
      <c r="E18" s="11">
        <f t="shared" si="3"/>
        <v>0.87935535531959863</v>
      </c>
      <c r="F18" s="12">
        <f t="shared" si="1"/>
        <v>0.87114999999999998</v>
      </c>
      <c r="G18" s="10">
        <f t="shared" si="2"/>
        <v>6.6088099999999995E-8</v>
      </c>
      <c r="H18" s="10">
        <f t="shared" si="10"/>
        <v>22.371804419650108</v>
      </c>
      <c r="I18" s="10">
        <f t="shared" si="4"/>
        <v>6.6042461518983911E-8</v>
      </c>
      <c r="J18" s="10">
        <f t="shared" si="5"/>
        <v>7.5155168613239983E-8</v>
      </c>
      <c r="K18" s="2"/>
      <c r="L18" s="6">
        <f t="shared" si="6"/>
        <v>250.094899</v>
      </c>
      <c r="M18" s="6">
        <f t="shared" si="7"/>
        <v>253.91898016302872</v>
      </c>
      <c r="N18" s="6">
        <f t="shared" si="8"/>
        <v>253.66559992403725</v>
      </c>
      <c r="O18" s="6">
        <f t="shared" si="9"/>
        <v>251.62757328501593</v>
      </c>
      <c r="P18" s="2"/>
      <c r="Y18" s="7">
        <v>4</v>
      </c>
      <c r="Z18" s="9">
        <v>21.183199999999999</v>
      </c>
      <c r="AA18" s="9">
        <f>$AA$14*Z18/$Z$14</f>
        <v>240.41462799495585</v>
      </c>
    </row>
    <row r="19" spans="1:32" x14ac:dyDescent="0.25">
      <c r="A19">
        <v>55981</v>
      </c>
      <c r="B19" s="11">
        <v>6.6080999999999995E-8</v>
      </c>
      <c r="C19" s="11">
        <v>2.9587000000000001E-9</v>
      </c>
      <c r="D19" s="11">
        <f t="shared" si="11"/>
        <v>1.0022560669909621</v>
      </c>
      <c r="E19" s="11">
        <f t="shared" si="3"/>
        <v>0.88073061318044754</v>
      </c>
      <c r="F19" s="12">
        <f t="shared" si="1"/>
        <v>0.93301666666666672</v>
      </c>
      <c r="G19" s="10">
        <f t="shared" si="2"/>
        <v>6.6080999999999995E-8</v>
      </c>
      <c r="H19" s="10">
        <f t="shared" si="10"/>
        <v>22.334471220468448</v>
      </c>
      <c r="I19" s="10">
        <f t="shared" si="4"/>
        <v>6.5932252421671674E-8</v>
      </c>
      <c r="J19" s="10">
        <f t="shared" si="5"/>
        <v>7.5029752583905092E-8</v>
      </c>
      <c r="K19" s="2"/>
      <c r="L19" s="6">
        <f t="shared" si="6"/>
        <v>250.06798999999998</v>
      </c>
      <c r="M19" s="6">
        <f t="shared" si="7"/>
        <v>253.49524835231688</v>
      </c>
      <c r="N19" s="6">
        <f t="shared" si="8"/>
        <v>253.23578444451951</v>
      </c>
      <c r="O19" s="6">
        <f t="shared" si="9"/>
        <v>251.2011587852773</v>
      </c>
      <c r="P19" s="2"/>
      <c r="Y19" s="7">
        <v>6</v>
      </c>
      <c r="Z19" s="9">
        <v>19.774899999999999</v>
      </c>
      <c r="AA19" s="9">
        <f>$AA$14*Z19/$Z$14</f>
        <v>224.43139974779319</v>
      </c>
    </row>
    <row r="20" spans="1:32" x14ac:dyDescent="0.25">
      <c r="A20">
        <v>59693</v>
      </c>
      <c r="B20" s="11">
        <v>6.6080999999999995E-8</v>
      </c>
      <c r="C20" s="11">
        <v>2.9719199999999998E-9</v>
      </c>
      <c r="D20" s="11">
        <f t="shared" si="11"/>
        <v>1.0067343260931423</v>
      </c>
      <c r="E20" s="11">
        <f t="shared" si="3"/>
        <v>0.88466587485153458</v>
      </c>
      <c r="F20" s="12">
        <f t="shared" si="1"/>
        <v>0.99488333333333334</v>
      </c>
      <c r="G20" s="10">
        <f t="shared" si="2"/>
        <v>6.6080999999999995E-8</v>
      </c>
      <c r="H20" s="10">
        <f t="shared" si="10"/>
        <v>22.23512073003311</v>
      </c>
      <c r="I20" s="10">
        <f t="shared" si="4"/>
        <v>6.5638965799886936E-8</v>
      </c>
      <c r="J20" s="10">
        <f t="shared" si="5"/>
        <v>7.4695997526851328E-8</v>
      </c>
      <c r="K20" s="2"/>
      <c r="L20" s="6">
        <f t="shared" si="6"/>
        <v>250.06798999999998</v>
      </c>
      <c r="M20" s="6">
        <f t="shared" si="7"/>
        <v>252.36762028587577</v>
      </c>
      <c r="N20" s="6">
        <f t="shared" si="8"/>
        <v>252.09196661955906</v>
      </c>
      <c r="O20" s="6">
        <f t="shared" si="9"/>
        <v>250.06639159129452</v>
      </c>
      <c r="P20" s="2"/>
      <c r="Y20" s="7">
        <v>8</v>
      </c>
      <c r="Z20" s="9">
        <v>18.319700000000001</v>
      </c>
      <c r="AA20" s="9">
        <f>$AA$14*Z20/$Z$14</f>
        <v>207.91588902900378</v>
      </c>
    </row>
    <row r="21" spans="1:32" x14ac:dyDescent="0.25">
      <c r="A21">
        <v>63405</v>
      </c>
      <c r="B21" s="11">
        <v>6.5958399999999996E-8</v>
      </c>
      <c r="C21" s="11">
        <v>2.9712500000000001E-9</v>
      </c>
      <c r="D21" s="11">
        <f t="shared" si="11"/>
        <v>1.0065073643988565</v>
      </c>
      <c r="E21" s="11">
        <f t="shared" si="3"/>
        <v>0.88446643269422542</v>
      </c>
      <c r="F21" s="12">
        <f t="shared" si="1"/>
        <v>1.0567500000000001</v>
      </c>
      <c r="G21" s="10">
        <f t="shared" si="2"/>
        <v>6.5958399999999996E-8</v>
      </c>
      <c r="H21" s="10">
        <f t="shared" si="10"/>
        <v>22.198872528397139</v>
      </c>
      <c r="I21" s="10">
        <f t="shared" si="4"/>
        <v>6.5531959658729481E-8</v>
      </c>
      <c r="J21" s="10">
        <f t="shared" si="5"/>
        <v>7.4574226405721492E-8</v>
      </c>
      <c r="K21" s="2"/>
      <c r="L21" s="6">
        <f t="shared" si="6"/>
        <v>249.60333599999998</v>
      </c>
      <c r="M21" s="6">
        <f t="shared" si="7"/>
        <v>251.9562031973075</v>
      </c>
      <c r="N21" s="6">
        <f t="shared" si="8"/>
        <v>251.67464266904497</v>
      </c>
      <c r="O21" s="6">
        <f t="shared" si="9"/>
        <v>249.65236977945307</v>
      </c>
      <c r="P21" s="2"/>
    </row>
    <row r="22" spans="1:32" x14ac:dyDescent="0.25">
      <c r="A22">
        <v>67117</v>
      </c>
      <c r="B22" s="11">
        <v>6.5938299999999994E-8</v>
      </c>
      <c r="C22" s="11">
        <v>2.9655599999999998E-9</v>
      </c>
      <c r="D22" s="11">
        <f t="shared" si="11"/>
        <v>1.0045798837414126</v>
      </c>
      <c r="E22" s="11">
        <f t="shared" si="3"/>
        <v>0.88277266273140487</v>
      </c>
      <c r="F22" s="12">
        <f t="shared" si="1"/>
        <v>1.1186166666666666</v>
      </c>
      <c r="G22" s="10">
        <f t="shared" si="2"/>
        <v>6.5938299999999994E-8</v>
      </c>
      <c r="H22" s="10">
        <f t="shared" si="10"/>
        <v>22.23468754636561</v>
      </c>
      <c r="I22" s="10">
        <f t="shared" si="4"/>
        <v>6.5637687024373133E-8</v>
      </c>
      <c r="J22" s="10">
        <f t="shared" si="5"/>
        <v>7.4694542302634246E-8</v>
      </c>
      <c r="K22" s="2"/>
      <c r="L22" s="6">
        <f t="shared" si="6"/>
        <v>249.52715699999999</v>
      </c>
      <c r="M22" s="6">
        <f t="shared" si="7"/>
        <v>252.36270365124966</v>
      </c>
      <c r="N22" s="6">
        <f t="shared" si="8"/>
        <v>252.08697939505521</v>
      </c>
      <c r="O22" s="6">
        <f t="shared" si="9"/>
        <v>250.06144382895644</v>
      </c>
      <c r="P22" s="2"/>
      <c r="AA22" s="3"/>
    </row>
    <row r="23" spans="1:32" x14ac:dyDescent="0.25">
      <c r="A23">
        <v>70829</v>
      </c>
      <c r="B23" s="11">
        <v>6.5955199999999995E-8</v>
      </c>
      <c r="C23" s="11">
        <v>2.9663500000000002E-9</v>
      </c>
      <c r="D23" s="11">
        <f t="shared" si="11"/>
        <v>1.0048474952913917</v>
      </c>
      <c r="E23" s="11">
        <f t="shared" si="3"/>
        <v>0.88300782587211291</v>
      </c>
      <c r="F23" s="12">
        <f t="shared" si="1"/>
        <v>1.1804833333333333</v>
      </c>
      <c r="G23" s="10">
        <f t="shared" si="2"/>
        <v>6.5955199999999995E-8</v>
      </c>
      <c r="H23" s="10">
        <f t="shared" si="10"/>
        <v>22.234463229221092</v>
      </c>
      <c r="I23" s="10">
        <f t="shared" si="4"/>
        <v>6.5637024831189846E-8</v>
      </c>
      <c r="J23" s="10">
        <f t="shared" si="5"/>
        <v>7.4693788738348475E-8</v>
      </c>
      <c r="K23" s="2"/>
      <c r="L23" s="6">
        <f t="shared" si="6"/>
        <v>249.59120799999999</v>
      </c>
      <c r="M23" s="6">
        <f t="shared" si="7"/>
        <v>252.36015765165939</v>
      </c>
      <c r="N23" s="6">
        <f t="shared" si="8"/>
        <v>252.0843968416404</v>
      </c>
      <c r="O23" s="6">
        <f t="shared" si="9"/>
        <v>250.05888171038481</v>
      </c>
      <c r="P23" s="2"/>
    </row>
    <row r="24" spans="1:32" x14ac:dyDescent="0.25">
      <c r="A24">
        <v>74541</v>
      </c>
      <c r="B24" s="11">
        <v>6.5944300000000001E-8</v>
      </c>
      <c r="C24" s="11">
        <v>2.9749300000000002E-9</v>
      </c>
      <c r="D24" s="11">
        <f t="shared" si="11"/>
        <v>1.0077539599734422</v>
      </c>
      <c r="E24" s="11">
        <f t="shared" si="3"/>
        <v>0.88556187618511806</v>
      </c>
      <c r="F24" s="12">
        <f t="shared" si="1"/>
        <v>1.2423500000000001</v>
      </c>
      <c r="G24" s="10">
        <f t="shared" si="2"/>
        <v>6.5944300000000001E-8</v>
      </c>
      <c r="H24" s="10">
        <f t="shared" si="10"/>
        <v>22.166672829276653</v>
      </c>
      <c r="I24" s="10">
        <f t="shared" si="4"/>
        <v>6.5436904858937851E-8</v>
      </c>
      <c r="J24" s="10">
        <f t="shared" si="5"/>
        <v>7.446605570248712E-8</v>
      </c>
      <c r="K24" s="2"/>
      <c r="L24" s="6">
        <f t="shared" si="6"/>
        <v>249.54989700000002</v>
      </c>
      <c r="M24" s="6">
        <f t="shared" si="7"/>
        <v>251.59073661228999</v>
      </c>
      <c r="N24" s="6">
        <f t="shared" si="8"/>
        <v>251.30392894985761</v>
      </c>
      <c r="O24" s="6">
        <f t="shared" si="9"/>
        <v>249.2845893884562</v>
      </c>
      <c r="P24" s="2"/>
      <c r="Y24" s="7" t="s">
        <v>6</v>
      </c>
      <c r="Z24" s="7" t="s">
        <v>11</v>
      </c>
      <c r="AA24" s="7" t="s">
        <v>10</v>
      </c>
    </row>
    <row r="25" spans="1:32" x14ac:dyDescent="0.25">
      <c r="A25">
        <v>78253</v>
      </c>
      <c r="B25" s="11">
        <v>6.5848400000000004E-8</v>
      </c>
      <c r="C25" s="11">
        <v>2.94873E-9</v>
      </c>
      <c r="D25" s="11">
        <f t="shared" si="11"/>
        <v>0.99887874148046774</v>
      </c>
      <c r="E25" s="11">
        <f t="shared" si="3"/>
        <v>0.87776279480974106</v>
      </c>
      <c r="F25" s="12">
        <f t="shared" si="1"/>
        <v>1.3042166666666666</v>
      </c>
      <c r="G25" s="10">
        <f t="shared" si="2"/>
        <v>6.5848400000000004E-8</v>
      </c>
      <c r="H25" s="10">
        <f t="shared" si="10"/>
        <v>22.331105255482871</v>
      </c>
      <c r="I25" s="10">
        <f t="shared" si="4"/>
        <v>6.5922315958395655E-8</v>
      </c>
      <c r="J25" s="10">
        <f t="shared" si="5"/>
        <v>7.5018445062111487E-8</v>
      </c>
      <c r="K25" s="2"/>
      <c r="L25" s="6">
        <f t="shared" si="6"/>
        <v>249.18643600000001</v>
      </c>
      <c r="M25" s="6">
        <f t="shared" si="7"/>
        <v>253.45704464973056</v>
      </c>
      <c r="N25" s="6">
        <f t="shared" si="8"/>
        <v>253.19703223774306</v>
      </c>
      <c r="O25" s="6">
        <f t="shared" si="9"/>
        <v>251.16271321117904</v>
      </c>
      <c r="P25" s="2"/>
      <c r="Y25" s="7">
        <v>1</v>
      </c>
      <c r="Z25" s="8">
        <v>6.5570999999999999E-8</v>
      </c>
      <c r="AA25" s="14">
        <v>252</v>
      </c>
    </row>
    <row r="26" spans="1:32" x14ac:dyDescent="0.25">
      <c r="A26">
        <v>81965</v>
      </c>
      <c r="B26" s="11">
        <v>6.5802999999999997E-8</v>
      </c>
      <c r="C26" s="11">
        <v>2.9352600000000001E-9</v>
      </c>
      <c r="D26" s="11">
        <f t="shared" si="11"/>
        <v>0.9943157951789271</v>
      </c>
      <c r="E26" s="11">
        <f t="shared" si="3"/>
        <v>0.87375311442324</v>
      </c>
      <c r="F26" s="12">
        <f t="shared" si="1"/>
        <v>1.3660833333333333</v>
      </c>
      <c r="G26" s="10">
        <f t="shared" si="2"/>
        <v>6.5802999999999997E-8</v>
      </c>
      <c r="H26" s="10">
        <f t="shared" si="10"/>
        <v>22.418116282714308</v>
      </c>
      <c r="I26" s="10">
        <f t="shared" si="4"/>
        <v>6.6179175991223948E-8</v>
      </c>
      <c r="J26" s="10">
        <f t="shared" si="5"/>
        <v>7.5310747296661975E-8</v>
      </c>
      <c r="K26" s="2"/>
      <c r="L26" s="6">
        <f t="shared" si="6"/>
        <v>249.01436999999999</v>
      </c>
      <c r="M26" s="6">
        <f t="shared" si="7"/>
        <v>254.44461980880737</v>
      </c>
      <c r="N26" s="6">
        <f t="shared" si="8"/>
        <v>254.19878636577337</v>
      </c>
      <c r="O26" s="6">
        <f t="shared" si="9"/>
        <v>252.1565408086507</v>
      </c>
      <c r="P26" s="2"/>
      <c r="Y26" s="7" t="s">
        <v>18</v>
      </c>
      <c r="Z26" s="8">
        <v>1.0000000000000001E-9</v>
      </c>
      <c r="AA26" s="7">
        <v>0</v>
      </c>
    </row>
    <row r="27" spans="1:32" x14ac:dyDescent="0.25">
      <c r="A27">
        <v>85677</v>
      </c>
      <c r="B27" s="11">
        <v>6.5795100000000007E-8</v>
      </c>
      <c r="C27" s="11">
        <v>2.97402E-9</v>
      </c>
      <c r="D27" s="11">
        <f t="shared" si="11"/>
        <v>1.00744569856777</v>
      </c>
      <c r="E27" s="11">
        <f t="shared" si="3"/>
        <v>0.88529099206101136</v>
      </c>
      <c r="F27" s="12">
        <f t="shared" si="1"/>
        <v>1.4279500000000001</v>
      </c>
      <c r="G27" s="10">
        <f t="shared" si="2"/>
        <v>6.5795100000000007E-8</v>
      </c>
      <c r="H27" s="10">
        <f t="shared" si="10"/>
        <v>22.12328767123288</v>
      </c>
      <c r="I27" s="10">
        <f t="shared" si="4"/>
        <v>6.5308830136986309E-8</v>
      </c>
      <c r="J27" s="10">
        <f t="shared" si="5"/>
        <v>7.4320308904109599E-8</v>
      </c>
      <c r="K27" s="2"/>
      <c r="L27" s="6">
        <f t="shared" si="6"/>
        <v>248.98442900000003</v>
      </c>
      <c r="M27" s="6">
        <f t="shared" si="7"/>
        <v>251.09831506849318</v>
      </c>
      <c r="N27" s="6">
        <f t="shared" si="8"/>
        <v>250.8044375342466</v>
      </c>
      <c r="O27" s="6">
        <f t="shared" si="9"/>
        <v>248.78905027397263</v>
      </c>
      <c r="P27" s="2"/>
    </row>
    <row r="28" spans="1:32" x14ac:dyDescent="0.25">
      <c r="A28">
        <v>89389</v>
      </c>
      <c r="B28" s="11">
        <v>6.5781899999999994E-8</v>
      </c>
      <c r="C28" s="11">
        <v>2.96773E-9</v>
      </c>
      <c r="D28" s="11">
        <f t="shared" si="11"/>
        <v>1.0053149686318614</v>
      </c>
      <c r="E28" s="11">
        <f t="shared" si="3"/>
        <v>0.88341861718119763</v>
      </c>
      <c r="F28" s="12">
        <f t="shared" si="1"/>
        <v>1.4898166666666666</v>
      </c>
      <c r="G28" s="10">
        <f t="shared" si="2"/>
        <v>6.5781899999999994E-8</v>
      </c>
      <c r="H28" s="10">
        <f t="shared" si="10"/>
        <v>22.165729362172431</v>
      </c>
      <c r="I28" s="10">
        <f t="shared" si="4"/>
        <v>6.5434119706307499E-8</v>
      </c>
      <c r="J28" s="10">
        <f t="shared" si="5"/>
        <v>7.4462886247401204E-8</v>
      </c>
      <c r="K28" s="2"/>
      <c r="L28" s="6">
        <f t="shared" si="6"/>
        <v>248.93440099999998</v>
      </c>
      <c r="M28" s="6">
        <f t="shared" si="7"/>
        <v>251.58002826065709</v>
      </c>
      <c r="N28" s="6">
        <f t="shared" si="8"/>
        <v>251.29306685459923</v>
      </c>
      <c r="O28" s="6">
        <f t="shared" si="9"/>
        <v>249.27381324116408</v>
      </c>
      <c r="P28" s="2"/>
      <c r="Y28" s="7" t="s">
        <v>6</v>
      </c>
      <c r="Z28" s="7" t="s">
        <v>11</v>
      </c>
      <c r="AA28" s="7" t="s">
        <v>13</v>
      </c>
      <c r="AF28" s="1"/>
    </row>
    <row r="29" spans="1:32" x14ac:dyDescent="0.25">
      <c r="A29">
        <v>93101</v>
      </c>
      <c r="B29" s="11">
        <v>6.5700600000000005E-8</v>
      </c>
      <c r="C29" s="11">
        <v>2.9421300000000001E-9</v>
      </c>
      <c r="D29" s="11">
        <f t="shared" si="11"/>
        <v>0.99664299941735202</v>
      </c>
      <c r="E29" s="11">
        <f t="shared" si="3"/>
        <v>0.87579814072281403</v>
      </c>
      <c r="F29" s="12">
        <f t="shared" si="1"/>
        <v>1.5516833333333333</v>
      </c>
      <c r="G29" s="10">
        <f t="shared" si="2"/>
        <v>6.5700600000000005E-8</v>
      </c>
      <c r="H29" s="10">
        <f t="shared" si="10"/>
        <v>22.330964301373495</v>
      </c>
      <c r="I29" s="10">
        <f t="shared" si="4"/>
        <v>6.592189985622662E-8</v>
      </c>
      <c r="J29" s="10">
        <f t="shared" si="5"/>
        <v>7.5017971545105093E-8</v>
      </c>
      <c r="K29" s="2"/>
      <c r="L29" s="6">
        <f t="shared" si="6"/>
        <v>248.62627400000002</v>
      </c>
      <c r="M29" s="6">
        <f t="shared" si="7"/>
        <v>253.45544482058915</v>
      </c>
      <c r="N29" s="6">
        <f t="shared" si="8"/>
        <v>253.19540943928379</v>
      </c>
      <c r="O29" s="6">
        <f t="shared" si="9"/>
        <v>251.16110325335731</v>
      </c>
      <c r="P29" s="2"/>
      <c r="Y29" s="7">
        <v>4</v>
      </c>
      <c r="Z29" s="8">
        <v>6.2533499999999995E-8</v>
      </c>
      <c r="AA29" s="9">
        <f>$AA$25*Z29/$Z$25</f>
        <v>240.32639429015876</v>
      </c>
      <c r="AF29" s="1"/>
    </row>
    <row r="30" spans="1:32" x14ac:dyDescent="0.25">
      <c r="A30">
        <v>96813</v>
      </c>
      <c r="B30" s="11">
        <v>6.5681000000000004E-8</v>
      </c>
      <c r="C30" s="11">
        <v>2.9418900000000001E-9</v>
      </c>
      <c r="D30" s="11">
        <f t="shared" si="11"/>
        <v>0.99656169970596609</v>
      </c>
      <c r="E30" s="11">
        <f t="shared" si="3"/>
        <v>0.87572669875601672</v>
      </c>
      <c r="F30" s="12">
        <f t="shared" si="1"/>
        <v>1.61355</v>
      </c>
      <c r="G30" s="10">
        <f t="shared" si="2"/>
        <v>6.5681000000000004E-8</v>
      </c>
      <c r="H30" s="10">
        <f t="shared" si="10"/>
        <v>22.326123682394652</v>
      </c>
      <c r="I30" s="10">
        <f t="shared" si="4"/>
        <v>6.5907610155376308E-8</v>
      </c>
      <c r="J30" s="10">
        <f t="shared" si="5"/>
        <v>7.5001710114926124E-8</v>
      </c>
      <c r="K30" s="2"/>
      <c r="L30" s="6">
        <f t="shared" si="6"/>
        <v>248.55199000000002</v>
      </c>
      <c r="M30" s="6">
        <f t="shared" si="7"/>
        <v>253.40050379517928</v>
      </c>
      <c r="N30" s="6">
        <f t="shared" si="8"/>
        <v>253.13967960596759</v>
      </c>
      <c r="O30" s="6">
        <f t="shared" si="9"/>
        <v>251.1058143907488</v>
      </c>
      <c r="P30" s="2"/>
      <c r="Y30" s="7">
        <v>6</v>
      </c>
      <c r="Z30" s="8">
        <v>5.8376300000000002E-8</v>
      </c>
      <c r="AA30" s="9">
        <f>$AA$25*Z30/$Z$25</f>
        <v>224.34959967058609</v>
      </c>
    </row>
    <row r="31" spans="1:32" x14ac:dyDescent="0.25">
      <c r="A31">
        <v>99585</v>
      </c>
      <c r="B31" s="11">
        <v>6.5700600000000005E-8</v>
      </c>
      <c r="C31" s="11">
        <v>2.9454199999999999E-9</v>
      </c>
      <c r="D31" s="11">
        <f t="shared" si="11"/>
        <v>0.99775748296093547</v>
      </c>
      <c r="E31" s="11">
        <f t="shared" si="3"/>
        <v>0.876777491017661</v>
      </c>
      <c r="F31" s="12">
        <f t="shared" si="1"/>
        <v>1.6597500000000001</v>
      </c>
      <c r="G31" s="10">
        <f t="shared" si="2"/>
        <v>6.5700600000000005E-8</v>
      </c>
      <c r="H31" s="10">
        <f t="shared" si="10"/>
        <v>22.306020873084318</v>
      </c>
      <c r="I31" s="10">
        <f t="shared" si="4"/>
        <v>6.5848265858179825E-8</v>
      </c>
      <c r="J31" s="10">
        <f t="shared" si="5"/>
        <v>7.4934177340413259E-8</v>
      </c>
      <c r="K31" s="2"/>
      <c r="L31" s="6">
        <f t="shared" si="6"/>
        <v>248.62627400000002</v>
      </c>
      <c r="M31" s="6">
        <f t="shared" si="7"/>
        <v>253.17233690950701</v>
      </c>
      <c r="N31" s="6">
        <f t="shared" si="8"/>
        <v>252.9082368469013</v>
      </c>
      <c r="O31" s="6">
        <f t="shared" si="9"/>
        <v>250.87620295740507</v>
      </c>
      <c r="P31" s="2"/>
      <c r="Y31" s="7">
        <v>8</v>
      </c>
      <c r="Z31" s="8">
        <v>5.4080499999999999E-8</v>
      </c>
      <c r="AA31" s="9">
        <f>$AA$25*Z31/$Z$25</f>
        <v>207.84014274603101</v>
      </c>
    </row>
    <row r="32" spans="1:32" x14ac:dyDescent="0.25">
      <c r="A32">
        <v>103297</v>
      </c>
      <c r="B32" s="11">
        <v>6.5627100000000001E-8</v>
      </c>
      <c r="C32" s="11">
        <v>2.9545199999999998E-9</v>
      </c>
      <c r="D32" s="11">
        <f t="shared" si="11"/>
        <v>1.0008400970176554</v>
      </c>
      <c r="E32" s="11">
        <f t="shared" si="3"/>
        <v>0.87948633225872697</v>
      </c>
      <c r="F32" s="12">
        <f t="shared" si="1"/>
        <v>1.7216166666666666</v>
      </c>
      <c r="G32" s="10">
        <f t="shared" si="2"/>
        <v>6.5627100000000001E-8</v>
      </c>
      <c r="H32" s="10">
        <f t="shared" si="10"/>
        <v>22.212440599488243</v>
      </c>
      <c r="I32" s="10">
        <f t="shared" si="4"/>
        <v>6.5572013147313278E-8</v>
      </c>
      <c r="J32" s="10">
        <f t="shared" si="5"/>
        <v>7.4619806576702832E-8</v>
      </c>
      <c r="K32" s="2"/>
      <c r="L32" s="6">
        <f t="shared" si="6"/>
        <v>248.34770900000001</v>
      </c>
      <c r="M32" s="6">
        <f t="shared" si="7"/>
        <v>252.11020080419155</v>
      </c>
      <c r="N32" s="6">
        <f t="shared" si="8"/>
        <v>251.83085127452176</v>
      </c>
      <c r="O32" s="6">
        <f t="shared" si="9"/>
        <v>249.80734236078962</v>
      </c>
      <c r="P32" s="2"/>
    </row>
    <row r="33" spans="1:32" x14ac:dyDescent="0.25">
      <c r="A33">
        <v>107009</v>
      </c>
      <c r="B33" s="11">
        <v>6.5584199999999998E-8</v>
      </c>
      <c r="C33" s="11">
        <v>2.93718E-9</v>
      </c>
      <c r="D33" s="11">
        <f t="shared" si="11"/>
        <v>0.99496619287001531</v>
      </c>
      <c r="E33" s="11">
        <f t="shared" si="3"/>
        <v>0.87432465015761884</v>
      </c>
      <c r="F33" s="12">
        <f t="shared" si="1"/>
        <v>1.7834833333333333</v>
      </c>
      <c r="G33" s="10">
        <f t="shared" si="2"/>
        <v>6.5584199999999998E-8</v>
      </c>
      <c r="H33" s="10">
        <f t="shared" si="10"/>
        <v>22.328968602537127</v>
      </c>
      <c r="I33" s="10">
        <f t="shared" si="4"/>
        <v>6.5916008473433696E-8</v>
      </c>
      <c r="J33" s="10">
        <f t="shared" si="5"/>
        <v>7.501126725430515E-8</v>
      </c>
      <c r="K33" s="2"/>
      <c r="L33" s="6">
        <f t="shared" si="6"/>
        <v>248.18511799999999</v>
      </c>
      <c r="M33" s="6">
        <f t="shared" si="7"/>
        <v>253.4327936387964</v>
      </c>
      <c r="N33" s="6">
        <f t="shared" si="8"/>
        <v>253.17243304639143</v>
      </c>
      <c r="O33" s="6">
        <f t="shared" si="9"/>
        <v>251.13830866463749</v>
      </c>
      <c r="P33" s="2"/>
    </row>
    <row r="34" spans="1:32" x14ac:dyDescent="0.25">
      <c r="A34">
        <v>110721</v>
      </c>
      <c r="B34" s="11">
        <v>6.5659200000000003E-8</v>
      </c>
      <c r="C34" s="11">
        <v>3.0006700000000001E-9</v>
      </c>
      <c r="D34" s="11">
        <f t="shared" si="11"/>
        <v>1.0164733540195932</v>
      </c>
      <c r="E34" s="11">
        <f t="shared" si="3"/>
        <v>0.8932240271241334</v>
      </c>
      <c r="F34" s="12">
        <f t="shared" si="1"/>
        <v>1.84535</v>
      </c>
      <c r="G34" s="10">
        <f t="shared" si="2"/>
        <v>6.5659200000000003E-8</v>
      </c>
      <c r="H34" s="10">
        <f t="shared" si="10"/>
        <v>21.881513128734582</v>
      </c>
      <c r="I34" s="10">
        <f t="shared" si="4"/>
        <v>6.459510201654965E-8</v>
      </c>
      <c r="J34" s="10">
        <f t="shared" si="5"/>
        <v>7.3508098759277102E-8</v>
      </c>
      <c r="K34" s="2"/>
      <c r="L34" s="6">
        <f t="shared" si="6"/>
        <v>248.46936800000003</v>
      </c>
      <c r="M34" s="6">
        <f t="shared" si="7"/>
        <v>248.3541740111375</v>
      </c>
      <c r="N34" s="6">
        <f t="shared" si="8"/>
        <v>248.02089786454363</v>
      </c>
      <c r="O34" s="6">
        <f t="shared" si="9"/>
        <v>246.02753578154213</v>
      </c>
      <c r="P34" s="2"/>
    </row>
    <row r="35" spans="1:32" x14ac:dyDescent="0.25">
      <c r="A35">
        <v>114433</v>
      </c>
      <c r="B35" s="11">
        <v>6.5499900000000005E-8</v>
      </c>
      <c r="C35" s="11">
        <v>2.9421600000000001E-9</v>
      </c>
      <c r="D35" s="11">
        <f t="shared" si="11"/>
        <v>0.99665316188127528</v>
      </c>
      <c r="E35" s="11">
        <f t="shared" si="3"/>
        <v>0.87580707096866373</v>
      </c>
      <c r="F35" s="12">
        <f t="shared" si="1"/>
        <v>1.9072166666666666</v>
      </c>
      <c r="G35" s="10">
        <f t="shared" si="2"/>
        <v>6.5499900000000005E-8</v>
      </c>
      <c r="H35" s="10">
        <f t="shared" si="10"/>
        <v>22.262521412839547</v>
      </c>
      <c r="I35" s="10">
        <f t="shared" si="4"/>
        <v>6.571985371155886E-8</v>
      </c>
      <c r="J35" s="10">
        <f t="shared" si="5"/>
        <v>7.4788046558650802E-8</v>
      </c>
      <c r="K35" s="2"/>
      <c r="L35" s="6">
        <f t="shared" si="6"/>
        <v>247.86562100000003</v>
      </c>
      <c r="M35" s="6">
        <f t="shared" si="7"/>
        <v>252.67861803572885</v>
      </c>
      <c r="N35" s="6">
        <f t="shared" si="8"/>
        <v>252.40742947507957</v>
      </c>
      <c r="O35" s="6">
        <f t="shared" si="9"/>
        <v>250.37935829941273</v>
      </c>
      <c r="P35" s="2"/>
      <c r="Y35" s="7" t="s">
        <v>6</v>
      </c>
      <c r="Z35" s="7" t="s">
        <v>11</v>
      </c>
      <c r="AA35" s="7" t="s">
        <v>10</v>
      </c>
    </row>
    <row r="36" spans="1:32" x14ac:dyDescent="0.25">
      <c r="A36">
        <v>118145</v>
      </c>
      <c r="B36" s="11">
        <v>6.5445099999999994E-8</v>
      </c>
      <c r="C36" s="11">
        <v>2.9485800000000002E-9</v>
      </c>
      <c r="D36" s="11">
        <f t="shared" si="11"/>
        <v>0.9988279291608515</v>
      </c>
      <c r="E36" s="11">
        <f t="shared" si="3"/>
        <v>0.87771814358049283</v>
      </c>
      <c r="F36" s="12">
        <f t="shared" si="1"/>
        <v>1.9690833333333333</v>
      </c>
      <c r="G36" s="10">
        <f t="shared" si="2"/>
        <v>6.5445099999999994E-8</v>
      </c>
      <c r="H36" s="10">
        <f t="shared" si="10"/>
        <v>22.195463579078741</v>
      </c>
      <c r="I36" s="10">
        <f t="shared" si="4"/>
        <v>6.552189630398361E-8</v>
      </c>
      <c r="J36" s="10">
        <f t="shared" si="5"/>
        <v>7.4562774483649743E-8</v>
      </c>
      <c r="K36" s="2"/>
      <c r="L36" s="6">
        <f t="shared" si="6"/>
        <v>247.657929</v>
      </c>
      <c r="M36" s="6">
        <f t="shared" si="7"/>
        <v>251.91751162254369</v>
      </c>
      <c r="N36" s="6">
        <f t="shared" si="8"/>
        <v>251.63539558553609</v>
      </c>
      <c r="O36" s="6">
        <f t="shared" si="9"/>
        <v>249.61343324440912</v>
      </c>
      <c r="P36" s="2"/>
      <c r="Y36" s="7">
        <v>1</v>
      </c>
      <c r="Z36" s="8">
        <v>7.4299999999999997E-8</v>
      </c>
      <c r="AA36" s="14">
        <v>252</v>
      </c>
    </row>
    <row r="37" spans="1:32" x14ac:dyDescent="0.25">
      <c r="A37">
        <v>121857</v>
      </c>
      <c r="B37" s="11">
        <v>6.5557600000000002E-8</v>
      </c>
      <c r="C37" s="11">
        <v>2.9370499999999999E-9</v>
      </c>
      <c r="D37" s="11">
        <f t="shared" si="11"/>
        <v>0.99492215552634777</v>
      </c>
      <c r="E37" s="11">
        <f t="shared" si="3"/>
        <v>0.87428595242560359</v>
      </c>
      <c r="F37" s="12">
        <f t="shared" si="1"/>
        <v>2.0309499999999998</v>
      </c>
      <c r="G37" s="10">
        <f t="shared" si="2"/>
        <v>6.5557600000000002E-8</v>
      </c>
      <c r="H37" s="10">
        <f t="shared" si="10"/>
        <v>22.320900223012888</v>
      </c>
      <c r="I37" s="10">
        <f t="shared" si="4"/>
        <v>6.5892190294342976E-8</v>
      </c>
      <c r="J37" s="10">
        <f t="shared" si="5"/>
        <v>7.4984162582182801E-8</v>
      </c>
      <c r="K37" s="2"/>
      <c r="L37" s="6">
        <f t="shared" si="6"/>
        <v>248.084304</v>
      </c>
      <c r="M37" s="6">
        <f t="shared" si="7"/>
        <v>253.34121753119626</v>
      </c>
      <c r="N37" s="6">
        <f t="shared" si="8"/>
        <v>253.07954214793759</v>
      </c>
      <c r="O37" s="6">
        <f t="shared" si="9"/>
        <v>251.04615277942153</v>
      </c>
      <c r="P37" s="2"/>
      <c r="Y37" s="7" t="s">
        <v>18</v>
      </c>
      <c r="Z37" s="8">
        <v>1E-10</v>
      </c>
      <c r="AA37" s="7">
        <v>0</v>
      </c>
      <c r="AF37" s="1"/>
    </row>
    <row r="38" spans="1:32" x14ac:dyDescent="0.25">
      <c r="A38">
        <v>125569</v>
      </c>
      <c r="B38" s="11">
        <v>6.5380299999999997E-8</v>
      </c>
      <c r="C38" s="11">
        <v>2.94453E-9</v>
      </c>
      <c r="D38" s="11">
        <f t="shared" si="11"/>
        <v>0.99745599653121231</v>
      </c>
      <c r="E38" s="11">
        <f t="shared" si="3"/>
        <v>0.87651256039078751</v>
      </c>
      <c r="F38" s="12">
        <f t="shared" si="1"/>
        <v>2.0928166666666668</v>
      </c>
      <c r="G38" s="10">
        <f t="shared" si="2"/>
        <v>6.5380299999999997E-8</v>
      </c>
      <c r="H38" s="10">
        <f t="shared" si="10"/>
        <v>22.203985016284431</v>
      </c>
      <c r="I38" s="10">
        <f t="shared" si="4"/>
        <v>6.5547051927472289E-8</v>
      </c>
      <c r="J38" s="10">
        <f t="shared" si="5"/>
        <v>7.4591401144155434E-8</v>
      </c>
      <c r="K38" s="2"/>
      <c r="L38" s="6">
        <f t="shared" si="6"/>
        <v>247.41233700000001</v>
      </c>
      <c r="M38" s="6">
        <f t="shared" si="7"/>
        <v>252.01422993482828</v>
      </c>
      <c r="N38" s="6">
        <f t="shared" si="8"/>
        <v>251.73350251714191</v>
      </c>
      <c r="O38" s="6">
        <f t="shared" si="9"/>
        <v>249.71076389012848</v>
      </c>
      <c r="P38" s="2"/>
      <c r="AF38" s="1"/>
    </row>
    <row r="39" spans="1:32" x14ac:dyDescent="0.25">
      <c r="A39">
        <v>129281</v>
      </c>
      <c r="B39" s="11">
        <v>6.5332000000000006E-8</v>
      </c>
      <c r="C39" s="11">
        <v>2.9300099999999999E-9</v>
      </c>
      <c r="D39" s="11">
        <f t="shared" si="11"/>
        <v>0.99253736399235781</v>
      </c>
      <c r="E39" s="11">
        <f t="shared" si="3"/>
        <v>0.87219032139954811</v>
      </c>
      <c r="F39" s="12">
        <f t="shared" si="1"/>
        <v>2.1546833333333333</v>
      </c>
      <c r="G39" s="10">
        <f t="shared" si="2"/>
        <v>6.5332000000000006E-8</v>
      </c>
      <c r="H39" s="10">
        <f t="shared" si="10"/>
        <v>22.297534820700275</v>
      </c>
      <c r="I39" s="10">
        <f t="shared" si="4"/>
        <v>6.5823214692100035E-8</v>
      </c>
      <c r="J39" s="10">
        <f t="shared" si="5"/>
        <v>7.4905669550615871E-8</v>
      </c>
      <c r="K39" s="2"/>
      <c r="L39" s="6">
        <f t="shared" si="6"/>
        <v>247.22928000000002</v>
      </c>
      <c r="M39" s="6">
        <f t="shared" si="7"/>
        <v>253.0760202149481</v>
      </c>
      <c r="N39" s="6">
        <f t="shared" si="8"/>
        <v>252.81053729919014</v>
      </c>
      <c r="O39" s="6">
        <f t="shared" si="9"/>
        <v>250.77927647209395</v>
      </c>
      <c r="P39" s="2"/>
      <c r="Y39" s="7" t="s">
        <v>6</v>
      </c>
      <c r="Z39" s="7" t="s">
        <v>11</v>
      </c>
      <c r="AA39" s="7" t="s">
        <v>13</v>
      </c>
    </row>
    <row r="40" spans="1:32" x14ac:dyDescent="0.25">
      <c r="A40">
        <v>132993</v>
      </c>
      <c r="B40" s="11">
        <v>6.5180200000000003E-8</v>
      </c>
      <c r="C40" s="11">
        <v>2.9269999999999999E-9</v>
      </c>
      <c r="D40" s="11">
        <f t="shared" si="11"/>
        <v>0.99151773011205802</v>
      </c>
      <c r="E40" s="11">
        <f t="shared" si="3"/>
        <v>0.87129432006596463</v>
      </c>
      <c r="F40" s="12">
        <f t="shared" si="1"/>
        <v>2.2165499999999998</v>
      </c>
      <c r="G40" s="10">
        <f t="shared" si="2"/>
        <v>6.5180200000000003E-8</v>
      </c>
      <c r="H40" s="10">
        <f t="shared" si="10"/>
        <v>22.268602664844551</v>
      </c>
      <c r="I40" s="10">
        <f t="shared" si="4"/>
        <v>6.5737805810727722E-8</v>
      </c>
      <c r="J40" s="10">
        <f t="shared" si="5"/>
        <v>7.4808475734198848E-8</v>
      </c>
      <c r="K40" s="2"/>
      <c r="L40" s="6">
        <f t="shared" si="6"/>
        <v>246.65395800000002</v>
      </c>
      <c r="M40" s="6">
        <f t="shared" si="7"/>
        <v>252.74764024598562</v>
      </c>
      <c r="N40" s="6">
        <f t="shared" si="8"/>
        <v>252.47744266183813</v>
      </c>
      <c r="O40" s="6">
        <f t="shared" si="9"/>
        <v>250.44881749627606</v>
      </c>
      <c r="P40" s="2"/>
      <c r="Y40" s="7">
        <v>4</v>
      </c>
      <c r="Z40" s="8">
        <v>7.1200000000000002E-8</v>
      </c>
      <c r="AA40" s="9">
        <f>$AA$36*Z40/$Z$36</f>
        <v>241.48586810228804</v>
      </c>
    </row>
    <row r="41" spans="1:32" x14ac:dyDescent="0.25">
      <c r="A41">
        <v>136705</v>
      </c>
      <c r="B41" s="11">
        <v>6.5060800000000005E-8</v>
      </c>
      <c r="C41" s="11">
        <v>2.9415299999999999E-9</v>
      </c>
      <c r="D41" s="11">
        <f t="shared" si="11"/>
        <v>0.99643975013888697</v>
      </c>
      <c r="E41" s="11">
        <f t="shared" si="3"/>
        <v>0.87561953580582064</v>
      </c>
      <c r="F41" s="12">
        <f t="shared" si="1"/>
        <v>2.2784166666666668</v>
      </c>
      <c r="G41" s="10">
        <f t="shared" si="2"/>
        <v>6.5060800000000005E-8</v>
      </c>
      <c r="H41" s="10">
        <f t="shared" si="10"/>
        <v>22.118013414787544</v>
      </c>
      <c r="I41" s="10">
        <f t="shared" si="4"/>
        <v>6.5293260320989426E-8</v>
      </c>
      <c r="J41" s="10">
        <f t="shared" si="5"/>
        <v>7.4302590725234846E-8</v>
      </c>
      <c r="K41" s="2"/>
      <c r="L41" s="6">
        <f t="shared" si="6"/>
        <v>246.20143200000004</v>
      </c>
      <c r="M41" s="6">
        <f t="shared" si="7"/>
        <v>251.03845225783863</v>
      </c>
      <c r="N41" s="6">
        <f t="shared" si="8"/>
        <v>250.74371525185876</v>
      </c>
      <c r="O41" s="6">
        <f t="shared" si="9"/>
        <v>248.72880846579847</v>
      </c>
      <c r="P41" s="2"/>
      <c r="Y41" s="7">
        <v>6</v>
      </c>
      <c r="Z41" s="8">
        <v>6.6399999999999999E-8</v>
      </c>
      <c r="AA41" s="9">
        <f>$AA$36*Z41/$Z$36</f>
        <v>225.20592193808884</v>
      </c>
    </row>
    <row r="42" spans="1:32" x14ac:dyDescent="0.25">
      <c r="A42">
        <v>140417</v>
      </c>
      <c r="B42" s="11">
        <v>6.4952999999999999E-8</v>
      </c>
      <c r="C42" s="11">
        <v>2.9096500000000002E-9</v>
      </c>
      <c r="D42" s="11">
        <f t="shared" si="11"/>
        <v>0.98564043847644345</v>
      </c>
      <c r="E42" s="11">
        <f t="shared" si="3"/>
        <v>0.86612966121623991</v>
      </c>
      <c r="F42" s="12">
        <f t="shared" si="1"/>
        <v>2.3402833333333333</v>
      </c>
      <c r="G42" s="10">
        <f t="shared" si="2"/>
        <v>6.4952999999999999E-8</v>
      </c>
      <c r="H42" s="10">
        <f t="shared" si="10"/>
        <v>22.323303490110494</v>
      </c>
      <c r="I42" s="10">
        <f t="shared" si="4"/>
        <v>6.5899284834945785E-8</v>
      </c>
      <c r="J42" s="10">
        <f t="shared" si="5"/>
        <v>7.49922360455725E-8</v>
      </c>
      <c r="K42" s="2"/>
      <c r="L42" s="6">
        <f t="shared" si="6"/>
        <v>245.79286999999999</v>
      </c>
      <c r="M42" s="6">
        <f t="shared" si="7"/>
        <v>253.36849461275409</v>
      </c>
      <c r="N42" s="6">
        <f t="shared" si="8"/>
        <v>253.10721085628856</v>
      </c>
      <c r="O42" s="6">
        <f t="shared" si="9"/>
        <v>251.07360255494649</v>
      </c>
      <c r="P42" s="2"/>
      <c r="Y42" s="7">
        <v>8</v>
      </c>
      <c r="Z42" s="8">
        <v>6.1500000000000001E-8</v>
      </c>
      <c r="AA42" s="9">
        <f>$AA$36*Z42/$Z$36</f>
        <v>208.58681022880216</v>
      </c>
    </row>
    <row r="43" spans="1:32" x14ac:dyDescent="0.25">
      <c r="A43">
        <v>144129</v>
      </c>
      <c r="B43" s="11">
        <v>6.4869400000000005E-8</v>
      </c>
      <c r="C43" s="11">
        <v>2.9156300000000002E-9</v>
      </c>
      <c r="D43" s="11">
        <f t="shared" si="11"/>
        <v>0.9876661562851452</v>
      </c>
      <c r="E43" s="11">
        <f t="shared" si="3"/>
        <v>0.86790975688894045</v>
      </c>
      <c r="F43" s="12">
        <f t="shared" si="1"/>
        <v>2.4021499999999998</v>
      </c>
      <c r="G43" s="10">
        <f t="shared" si="2"/>
        <v>6.4869400000000005E-8</v>
      </c>
      <c r="H43" s="10">
        <f t="shared" si="10"/>
        <v>22.248845018057846</v>
      </c>
      <c r="I43" s="10">
        <f t="shared" si="4"/>
        <v>6.5679480447107489E-8</v>
      </c>
      <c r="J43" s="10">
        <f t="shared" si="5"/>
        <v>7.4742102488312993E-8</v>
      </c>
      <c r="K43" s="2"/>
      <c r="L43" s="6">
        <f t="shared" si="6"/>
        <v>245.47602600000002</v>
      </c>
      <c r="M43" s="6">
        <f t="shared" si="7"/>
        <v>252.52339095495654</v>
      </c>
      <c r="N43" s="6">
        <f t="shared" si="8"/>
        <v>252.24997374371921</v>
      </c>
      <c r="O43" s="6">
        <f t="shared" si="9"/>
        <v>250.22314846026418</v>
      </c>
      <c r="P43" s="2"/>
    </row>
    <row r="44" spans="1:32" x14ac:dyDescent="0.25">
      <c r="A44">
        <v>147841</v>
      </c>
      <c r="B44" s="11">
        <v>6.4640500000000002E-8</v>
      </c>
      <c r="C44" s="11">
        <v>2.9192900000000002E-9</v>
      </c>
      <c r="D44" s="11">
        <f t="shared" si="11"/>
        <v>0.98890597688378212</v>
      </c>
      <c r="E44" s="11">
        <f t="shared" si="3"/>
        <v>0.8689992468826</v>
      </c>
      <c r="F44" s="12">
        <f t="shared" si="1"/>
        <v>2.4640166666666667</v>
      </c>
      <c r="G44" s="10">
        <f t="shared" si="2"/>
        <v>6.4640500000000002E-8</v>
      </c>
      <c r="H44" s="10">
        <f t="shared" si="10"/>
        <v>22.142541508380461</v>
      </c>
      <c r="I44" s="10">
        <f t="shared" si="4"/>
        <v>6.5365668234399458E-8</v>
      </c>
      <c r="J44" s="10">
        <f t="shared" si="5"/>
        <v>7.4384989667008072E-8</v>
      </c>
      <c r="K44" s="2"/>
      <c r="L44" s="6">
        <f t="shared" si="6"/>
        <v>244.608495</v>
      </c>
      <c r="M44" s="6">
        <f t="shared" si="7"/>
        <v>251.31684612011821</v>
      </c>
      <c r="N44" s="6">
        <f t="shared" si="8"/>
        <v>251.02610611415787</v>
      </c>
      <c r="O44" s="6">
        <f t="shared" si="9"/>
        <v>249.00896486782744</v>
      </c>
      <c r="P44" s="2"/>
    </row>
    <row r="45" spans="1:32" x14ac:dyDescent="0.25">
      <c r="A45">
        <v>151553</v>
      </c>
      <c r="B45" s="11">
        <v>6.4506900000000004E-8</v>
      </c>
      <c r="C45" s="11">
        <v>2.93868E-9</v>
      </c>
      <c r="D45" s="11">
        <f t="shared" si="11"/>
        <v>0.99547431606617798</v>
      </c>
      <c r="E45" s="11">
        <f t="shared" si="3"/>
        <v>0.87477116245010222</v>
      </c>
      <c r="F45" s="12">
        <f t="shared" si="1"/>
        <v>2.5258833333333333</v>
      </c>
      <c r="G45" s="10">
        <f t="shared" si="2"/>
        <v>6.4506900000000004E-8</v>
      </c>
      <c r="H45" s="10">
        <f t="shared" si="10"/>
        <v>21.950977990118012</v>
      </c>
      <c r="I45" s="10">
        <f t="shared" si="4"/>
        <v>6.4800165065947974E-8</v>
      </c>
      <c r="J45" s="10">
        <f t="shared" si="5"/>
        <v>7.3741456930662758E-8</v>
      </c>
      <c r="K45" s="2"/>
      <c r="L45" s="6">
        <f t="shared" si="6"/>
        <v>244.10215100000002</v>
      </c>
      <c r="M45" s="6">
        <f t="shared" si="7"/>
        <v>249.14260018783943</v>
      </c>
      <c r="N45" s="6">
        <f t="shared" si="8"/>
        <v>248.8206437571971</v>
      </c>
      <c r="O45" s="6">
        <f t="shared" si="9"/>
        <v>246.82095356425336</v>
      </c>
      <c r="P45" s="2"/>
    </row>
    <row r="46" spans="1:32" x14ac:dyDescent="0.25">
      <c r="A46">
        <v>154325</v>
      </c>
      <c r="B46" s="11">
        <v>6.4349899999999998E-8</v>
      </c>
      <c r="C46" s="11">
        <v>2.91332E-9</v>
      </c>
      <c r="D46" s="11">
        <f t="shared" si="11"/>
        <v>0.98688364656305472</v>
      </c>
      <c r="E46" s="11">
        <f t="shared" si="3"/>
        <v>0.86722212795851605</v>
      </c>
      <c r="F46" s="12">
        <f t="shared" si="1"/>
        <v>2.5720833333333335</v>
      </c>
      <c r="G46" s="10">
        <f t="shared" si="2"/>
        <v>6.4349899999999998E-8</v>
      </c>
      <c r="H46" s="10">
        <f t="shared" si="10"/>
        <v>22.088167451567283</v>
      </c>
      <c r="I46" s="10">
        <f t="shared" si="4"/>
        <v>6.5205153843724681E-8</v>
      </c>
      <c r="J46" s="10">
        <f t="shared" si="5"/>
        <v>7.4202327091771586E-8</v>
      </c>
      <c r="K46" s="2"/>
      <c r="L46" s="6">
        <f t="shared" si="6"/>
        <v>243.50712100000001</v>
      </c>
      <c r="M46" s="6">
        <f t="shared" si="7"/>
        <v>250.69970057528866</v>
      </c>
      <c r="N46" s="6">
        <f t="shared" si="8"/>
        <v>250.40009999052626</v>
      </c>
      <c r="O46" s="6">
        <f t="shared" si="9"/>
        <v>248.3879121120234</v>
      </c>
      <c r="P46" s="2"/>
    </row>
    <row r="47" spans="1:32" x14ac:dyDescent="0.25">
      <c r="A47">
        <v>158037</v>
      </c>
      <c r="B47" s="11">
        <v>6.4221700000000001E-8</v>
      </c>
      <c r="C47" s="11">
        <v>2.9202800000000002E-9</v>
      </c>
      <c r="D47" s="11">
        <f t="shared" si="11"/>
        <v>0.98924133819324944</v>
      </c>
      <c r="E47" s="11">
        <f t="shared" si="3"/>
        <v>0.86929394499563906</v>
      </c>
      <c r="F47" s="12">
        <f t="shared" si="1"/>
        <v>2.63395</v>
      </c>
      <c r="G47" s="10">
        <f t="shared" si="2"/>
        <v>6.4221700000000001E-8</v>
      </c>
      <c r="H47" s="10">
        <f t="shared" si="10"/>
        <v>21.991624090840602</v>
      </c>
      <c r="I47" s="10">
        <f t="shared" si="4"/>
        <v>6.4920153981125093E-8</v>
      </c>
      <c r="J47" s="10">
        <f t="shared" si="5"/>
        <v>7.3878002222047201E-8</v>
      </c>
      <c r="K47" s="2"/>
      <c r="L47" s="6">
        <f t="shared" si="6"/>
        <v>243.02124300000003</v>
      </c>
      <c r="M47" s="6">
        <f t="shared" si="7"/>
        <v>249.60393343104082</v>
      </c>
      <c r="N47" s="6">
        <f t="shared" si="8"/>
        <v>249.28860052638785</v>
      </c>
      <c r="O47" s="6">
        <f t="shared" si="9"/>
        <v>247.28520755496046</v>
      </c>
      <c r="P47" s="2"/>
    </row>
    <row r="48" spans="1:32" x14ac:dyDescent="0.25">
      <c r="A48">
        <v>161749</v>
      </c>
      <c r="B48" s="11">
        <v>6.3985699999999998E-8</v>
      </c>
      <c r="C48" s="11">
        <v>2.9033199999999999E-9</v>
      </c>
      <c r="D48" s="11">
        <f t="shared" si="11"/>
        <v>0.98349615858863693</v>
      </c>
      <c r="E48" s="11">
        <f t="shared" si="3"/>
        <v>0.86424537934195989</v>
      </c>
      <c r="F48" s="12">
        <f t="shared" si="1"/>
        <v>2.6958166666666665</v>
      </c>
      <c r="G48" s="10">
        <f t="shared" si="2"/>
        <v>6.3985699999999998E-8</v>
      </c>
      <c r="H48" s="10">
        <f t="shared" si="10"/>
        <v>22.038803852141687</v>
      </c>
      <c r="I48" s="10">
        <f t="shared" si="4"/>
        <v>6.5059430523676345E-8</v>
      </c>
      <c r="J48" s="10">
        <f t="shared" si="5"/>
        <v>7.4036496496769221E-8</v>
      </c>
      <c r="K48" s="2"/>
      <c r="L48" s="6">
        <f t="shared" si="6"/>
        <v>242.126803</v>
      </c>
      <c r="M48" s="6">
        <f t="shared" si="7"/>
        <v>250.13942372180813</v>
      </c>
      <c r="N48" s="6">
        <f t="shared" si="8"/>
        <v>249.83177904233773</v>
      </c>
      <c r="O48" s="6">
        <f t="shared" si="9"/>
        <v>247.82408808901533</v>
      </c>
      <c r="P48" s="2"/>
    </row>
    <row r="49" spans="1:16" x14ac:dyDescent="0.25">
      <c r="A49">
        <v>165461</v>
      </c>
      <c r="B49" s="11">
        <v>6.38866E-8</v>
      </c>
      <c r="C49" s="11">
        <v>2.92877E-9</v>
      </c>
      <c r="D49" s="11">
        <f t="shared" si="11"/>
        <v>0.99211731548352999</v>
      </c>
      <c r="E49" s="11">
        <f t="shared" si="3"/>
        <v>0.87182120457109513</v>
      </c>
      <c r="F49" s="12">
        <f t="shared" si="1"/>
        <v>2.7576833333333335</v>
      </c>
      <c r="G49" s="10">
        <f t="shared" si="2"/>
        <v>6.38866E-8</v>
      </c>
      <c r="H49" s="10">
        <f t="shared" si="10"/>
        <v>21.813457526538443</v>
      </c>
      <c r="I49" s="10">
        <f t="shared" si="4"/>
        <v>6.4394199156642552E-8</v>
      </c>
      <c r="J49" s="10">
        <f t="shared" si="5"/>
        <v>7.3279474810927456E-8</v>
      </c>
      <c r="K49" s="2"/>
      <c r="L49" s="6">
        <f t="shared" si="6"/>
        <v>241.751214</v>
      </c>
      <c r="M49" s="6">
        <f t="shared" si="7"/>
        <v>247.58174292621132</v>
      </c>
      <c r="N49" s="6">
        <f t="shared" si="8"/>
        <v>247.23737671090595</v>
      </c>
      <c r="O49" s="6">
        <f t="shared" si="9"/>
        <v>245.25021435715334</v>
      </c>
      <c r="P49" s="2"/>
    </row>
    <row r="50" spans="1:16" x14ac:dyDescent="0.25">
      <c r="A50">
        <v>169173</v>
      </c>
      <c r="B50" s="11">
        <v>6.3724900000000004E-8</v>
      </c>
      <c r="C50" s="11">
        <v>2.9120500000000001E-9</v>
      </c>
      <c r="D50" s="11">
        <f t="shared" si="11"/>
        <v>0.98645343559030363</v>
      </c>
      <c r="E50" s="11">
        <f t="shared" si="3"/>
        <v>0.86684408088421339</v>
      </c>
      <c r="F50" s="12">
        <f t="shared" si="1"/>
        <v>2.81955</v>
      </c>
      <c r="G50" s="10">
        <f t="shared" si="2"/>
        <v>6.3724900000000004E-8</v>
      </c>
      <c r="H50" s="10">
        <f t="shared" si="10"/>
        <v>21.883175082845419</v>
      </c>
      <c r="I50" s="10">
        <f t="shared" si="4"/>
        <v>6.4600008171562988E-8</v>
      </c>
      <c r="J50" s="10">
        <f t="shared" si="5"/>
        <v>7.3513681878058414E-8</v>
      </c>
      <c r="K50" s="2"/>
      <c r="L50" s="6">
        <f t="shared" si="6"/>
        <v>241.13837100000003</v>
      </c>
      <c r="M50" s="6">
        <f t="shared" si="7"/>
        <v>248.37303719029549</v>
      </c>
      <c r="N50" s="6">
        <f t="shared" si="8"/>
        <v>248.04003186909566</v>
      </c>
      <c r="O50" s="6">
        <f t="shared" si="9"/>
        <v>246.0465183853986</v>
      </c>
      <c r="P50" s="2"/>
    </row>
    <row r="51" spans="1:16" x14ac:dyDescent="0.25">
      <c r="A51">
        <v>172885</v>
      </c>
      <c r="B51" s="11">
        <v>6.3554699999999999E-8</v>
      </c>
      <c r="C51" s="11">
        <v>2.94333E-9</v>
      </c>
      <c r="D51" s="11">
        <f t="shared" si="11"/>
        <v>0.99704949797428222</v>
      </c>
      <c r="E51" s="11">
        <f t="shared" si="3"/>
        <v>0.87615535055680083</v>
      </c>
      <c r="F51" s="12">
        <f t="shared" si="1"/>
        <v>2.8814166666666665</v>
      </c>
      <c r="G51" s="10">
        <f t="shared" si="2"/>
        <v>6.3554699999999999E-8</v>
      </c>
      <c r="H51" s="10">
        <f t="shared" si="10"/>
        <v>21.592787760801542</v>
      </c>
      <c r="I51" s="10">
        <f t="shared" si="4"/>
        <v>6.374277318139658E-8</v>
      </c>
      <c r="J51" s="10">
        <f t="shared" si="5"/>
        <v>7.2538163420003874E-8</v>
      </c>
      <c r="K51" s="2"/>
      <c r="L51" s="6">
        <f t="shared" si="6"/>
        <v>240.493313</v>
      </c>
      <c r="M51" s="6">
        <f t="shared" si="7"/>
        <v>245.07714108509748</v>
      </c>
      <c r="N51" s="6">
        <f t="shared" si="8"/>
        <v>244.69681540744665</v>
      </c>
      <c r="O51" s="6">
        <f t="shared" si="9"/>
        <v>242.72975562801318</v>
      </c>
      <c r="P51" s="2"/>
    </row>
    <row r="52" spans="1:16" x14ac:dyDescent="0.25">
      <c r="A52">
        <v>176597</v>
      </c>
      <c r="B52" s="11">
        <v>6.3434199999999995E-8</v>
      </c>
      <c r="C52" s="11">
        <v>2.9225299999999998E-9</v>
      </c>
      <c r="D52" s="11">
        <f t="shared" si="11"/>
        <v>0.99000352298749328</v>
      </c>
      <c r="E52" s="11">
        <f t="shared" si="3"/>
        <v>0.86996371343436407</v>
      </c>
      <c r="F52" s="12">
        <f t="shared" si="1"/>
        <v>2.9432833333333335</v>
      </c>
      <c r="G52" s="10">
        <f t="shared" si="2"/>
        <v>6.3434199999999995E-8</v>
      </c>
      <c r="H52" s="10">
        <f t="shared" si="10"/>
        <v>21.705234847888644</v>
      </c>
      <c r="I52" s="10">
        <f t="shared" si="4"/>
        <v>6.4074721480361202E-8</v>
      </c>
      <c r="J52" s="10">
        <f t="shared" si="5"/>
        <v>7.2915914790951685E-8</v>
      </c>
      <c r="K52" s="2"/>
      <c r="L52" s="6">
        <f t="shared" si="6"/>
        <v>240.036618</v>
      </c>
      <c r="M52" s="6">
        <f t="shared" si="7"/>
        <v>246.35341552353609</v>
      </c>
      <c r="N52" s="6">
        <f t="shared" si="8"/>
        <v>245.99141377340868</v>
      </c>
      <c r="O52" s="6">
        <f t="shared" si="9"/>
        <v>244.01411028923573</v>
      </c>
      <c r="P52" s="2"/>
    </row>
    <row r="53" spans="1:16" x14ac:dyDescent="0.25">
      <c r="A53">
        <v>180309</v>
      </c>
      <c r="B53" s="11">
        <v>6.3308399999999995E-8</v>
      </c>
      <c r="C53" s="11">
        <v>2.9051100000000001E-9</v>
      </c>
      <c r="D53" s="11">
        <f t="shared" si="11"/>
        <v>0.98410251893605782</v>
      </c>
      <c r="E53" s="11">
        <f t="shared" si="3"/>
        <v>0.86477821734432347</v>
      </c>
      <c r="F53" s="12">
        <f t="shared" si="1"/>
        <v>3.00515</v>
      </c>
      <c r="G53" s="10">
        <f t="shared" si="2"/>
        <v>6.3308399999999995E-8</v>
      </c>
      <c r="H53" s="10">
        <f t="shared" si="10"/>
        <v>21.792083604407402</v>
      </c>
      <c r="I53" s="10">
        <f t="shared" si="4"/>
        <v>6.4331102483554826E-8</v>
      </c>
      <c r="J53" s="10">
        <f t="shared" si="5"/>
        <v>7.3207671898138098E-8</v>
      </c>
      <c r="K53" s="2"/>
      <c r="L53" s="6">
        <f t="shared" si="6"/>
        <v>239.55983599999999</v>
      </c>
      <c r="M53" s="6">
        <f t="shared" si="7"/>
        <v>247.33914891002399</v>
      </c>
      <c r="N53" s="6">
        <f t="shared" si="8"/>
        <v>246.99129968586382</v>
      </c>
      <c r="O53" s="6">
        <f t="shared" si="9"/>
        <v>245.00608445366953</v>
      </c>
      <c r="P53" s="2"/>
    </row>
    <row r="54" spans="1:16" x14ac:dyDescent="0.25">
      <c r="A54">
        <v>184021</v>
      </c>
      <c r="B54" s="11">
        <v>6.3253799999999994E-8</v>
      </c>
      <c r="C54" s="11">
        <v>2.9138499999999998E-9</v>
      </c>
      <c r="D54" s="11">
        <f t="shared" si="11"/>
        <v>0.98706318342569876</v>
      </c>
      <c r="E54" s="11">
        <f t="shared" si="3"/>
        <v>0.86737989563519335</v>
      </c>
      <c r="F54" s="12">
        <f t="shared" si="1"/>
        <v>3.0670166666666665</v>
      </c>
      <c r="G54" s="10">
        <f t="shared" si="2"/>
        <v>6.3253799999999994E-8</v>
      </c>
      <c r="H54" s="10">
        <f t="shared" si="10"/>
        <v>21.707980850078076</v>
      </c>
      <c r="I54" s="10">
        <f t="shared" si="4"/>
        <v>6.4082827788664476E-8</v>
      </c>
      <c r="J54" s="10">
        <f t="shared" si="5"/>
        <v>7.2925139628326791E-8</v>
      </c>
      <c r="K54" s="2"/>
      <c r="L54" s="6">
        <f t="shared" si="6"/>
        <v>239.352902</v>
      </c>
      <c r="M54" s="6">
        <f t="shared" si="7"/>
        <v>246.38458264838616</v>
      </c>
      <c r="N54" s="6">
        <f t="shared" si="8"/>
        <v>246.02302837579145</v>
      </c>
      <c r="O54" s="6">
        <f t="shared" si="9"/>
        <v>244.04547473631109</v>
      </c>
      <c r="P54" s="2"/>
    </row>
    <row r="55" spans="1:16" x14ac:dyDescent="0.25">
      <c r="A55">
        <v>187733</v>
      </c>
      <c r="B55" s="11">
        <v>6.29974E-8</v>
      </c>
      <c r="C55" s="11">
        <v>2.94241E-9</v>
      </c>
      <c r="D55" s="11">
        <f t="shared" si="11"/>
        <v>0.99673784908063578</v>
      </c>
      <c r="E55" s="11">
        <f t="shared" si="3"/>
        <v>0.87588148968407764</v>
      </c>
      <c r="F55" s="12">
        <f t="shared" si="1"/>
        <v>3.1288833333333335</v>
      </c>
      <c r="G55" s="10">
        <f t="shared" si="2"/>
        <v>6.29974E-8</v>
      </c>
      <c r="H55" s="10">
        <f t="shared" si="10"/>
        <v>21.410136588714693</v>
      </c>
      <c r="I55" s="10">
        <f t="shared" si="4"/>
        <v>6.3203579615349315E-8</v>
      </c>
      <c r="J55" s="10">
        <f t="shared" si="5"/>
        <v>7.1924570552030475E-8</v>
      </c>
      <c r="K55" s="2"/>
      <c r="L55" s="6">
        <f t="shared" si="6"/>
        <v>238.381146</v>
      </c>
      <c r="M55" s="6">
        <f t="shared" si="7"/>
        <v>243.00405028191176</v>
      </c>
      <c r="N55" s="6">
        <f t="shared" si="8"/>
        <v>242.59396049986233</v>
      </c>
      <c r="O55" s="6">
        <f t="shared" si="9"/>
        <v>240.64353987690362</v>
      </c>
      <c r="P55" s="2"/>
    </row>
    <row r="56" spans="1:16" x14ac:dyDescent="0.25">
      <c r="A56">
        <v>191445</v>
      </c>
      <c r="B56" s="11">
        <v>6.2949899999999999E-8</v>
      </c>
      <c r="C56" s="11">
        <v>2.92023E-9</v>
      </c>
      <c r="D56" s="11">
        <f t="shared" si="11"/>
        <v>0.98922440075337725</v>
      </c>
      <c r="E56" s="11">
        <f t="shared" si="3"/>
        <v>0.86927906125255627</v>
      </c>
      <c r="F56" s="12">
        <f t="shared" si="1"/>
        <v>3.19075</v>
      </c>
      <c r="G56" s="10">
        <f t="shared" si="2"/>
        <v>6.2949899999999999E-8</v>
      </c>
      <c r="H56" s="10">
        <f t="shared" si="10"/>
        <v>21.556486989038536</v>
      </c>
      <c r="I56" s="10">
        <f t="shared" si="4"/>
        <v>6.3635611851121317E-8</v>
      </c>
      <c r="J56" s="10">
        <f t="shared" si="5"/>
        <v>7.2416215696366383E-8</v>
      </c>
      <c r="K56" s="2"/>
      <c r="L56" s="6">
        <f t="shared" si="6"/>
        <v>238.201121</v>
      </c>
      <c r="M56" s="6">
        <f t="shared" si="7"/>
        <v>244.66512732558738</v>
      </c>
      <c r="N56" s="6">
        <f t="shared" si="8"/>
        <v>244.27888621937313</v>
      </c>
      <c r="O56" s="6">
        <f t="shared" si="9"/>
        <v>242.3151333676457</v>
      </c>
      <c r="P56" s="2"/>
    </row>
    <row r="57" spans="1:16" x14ac:dyDescent="0.25">
      <c r="A57">
        <v>195157</v>
      </c>
      <c r="B57" s="11">
        <v>6.2745900000000006E-8</v>
      </c>
      <c r="C57" s="11">
        <v>2.9091599999999999E-9</v>
      </c>
      <c r="D57" s="11">
        <f t="shared" si="11"/>
        <v>0.98547445156569691</v>
      </c>
      <c r="E57" s="11">
        <f t="shared" si="3"/>
        <v>0.86598380053402868</v>
      </c>
      <c r="F57" s="12">
        <f t="shared" si="1"/>
        <v>3.2526166666666665</v>
      </c>
      <c r="G57" s="10">
        <f t="shared" si="2"/>
        <v>6.2745900000000006E-8</v>
      </c>
      <c r="H57" s="10">
        <f t="shared" si="10"/>
        <v>21.568390875716705</v>
      </c>
      <c r="I57" s="10">
        <f t="shared" si="4"/>
        <v>6.3670752600750735E-8</v>
      </c>
      <c r="J57" s="10">
        <f t="shared" si="5"/>
        <v>7.2456205256156421E-8</v>
      </c>
      <c r="K57" s="2"/>
      <c r="L57" s="6">
        <f t="shared" si="6"/>
        <v>237.42796100000004</v>
      </c>
      <c r="M57" s="6">
        <f t="shared" si="7"/>
        <v>244.80023643938461</v>
      </c>
      <c r="N57" s="6">
        <f t="shared" si="8"/>
        <v>244.41593514292785</v>
      </c>
      <c r="O57" s="6">
        <f t="shared" si="9"/>
        <v>242.45109787093182</v>
      </c>
      <c r="P57" s="2"/>
    </row>
    <row r="58" spans="1:16" x14ac:dyDescent="0.25">
      <c r="A58">
        <v>198869</v>
      </c>
      <c r="B58" s="11">
        <v>6.2717099999999997E-8</v>
      </c>
      <c r="C58" s="11">
        <v>2.9267599999999999E-9</v>
      </c>
      <c r="D58" s="11">
        <f t="shared" si="11"/>
        <v>0.99143643040067198</v>
      </c>
      <c r="E58" s="11">
        <f t="shared" si="3"/>
        <v>0.87122287809916732</v>
      </c>
      <c r="F58" s="12">
        <f t="shared" si="1"/>
        <v>3.3144833333333334</v>
      </c>
      <c r="G58" s="10">
        <f t="shared" si="2"/>
        <v>6.2717099999999997E-8</v>
      </c>
      <c r="H58" s="10">
        <f t="shared" si="10"/>
        <v>21.428849649441702</v>
      </c>
      <c r="I58" s="10">
        <f t="shared" si="4"/>
        <v>6.3258821319137884E-8</v>
      </c>
      <c r="J58" s="10">
        <f t="shared" si="5"/>
        <v>7.1987434646844976E-8</v>
      </c>
      <c r="K58" s="2"/>
      <c r="L58" s="6">
        <f t="shared" si="6"/>
        <v>237.31880899999999</v>
      </c>
      <c r="M58" s="6">
        <f t="shared" si="7"/>
        <v>243.21644352116331</v>
      </c>
      <c r="N58" s="6">
        <f t="shared" si="8"/>
        <v>242.80940314463774</v>
      </c>
      <c r="O58" s="6">
        <f t="shared" si="9"/>
        <v>240.85727779927291</v>
      </c>
      <c r="P58" s="2"/>
    </row>
    <row r="59" spans="1:16" x14ac:dyDescent="0.25">
      <c r="A59">
        <v>202581</v>
      </c>
      <c r="B59" s="11">
        <v>6.2509200000000005E-8</v>
      </c>
      <c r="C59" s="11">
        <v>2.9105999999999999E-9</v>
      </c>
      <c r="D59" s="11">
        <f t="shared" si="11"/>
        <v>0.98596224983401304</v>
      </c>
      <c r="E59" s="11">
        <f t="shared" si="3"/>
        <v>0.86641245233481268</v>
      </c>
      <c r="F59" s="12">
        <f t="shared" si="1"/>
        <v>3.37635</v>
      </c>
      <c r="G59" s="10">
        <f t="shared" si="2"/>
        <v>6.2509200000000005E-8</v>
      </c>
      <c r="H59" s="10">
        <f t="shared" si="10"/>
        <v>21.476396619253766</v>
      </c>
      <c r="I59" s="10">
        <f t="shared" si="4"/>
        <v>6.3399181875901887E-8</v>
      </c>
      <c r="J59" s="10">
        <f t="shared" si="5"/>
        <v>7.2147162510822525E-8</v>
      </c>
      <c r="K59" s="2"/>
      <c r="L59" s="6">
        <f t="shared" si="6"/>
        <v>236.53086800000003</v>
      </c>
      <c r="M59" s="6">
        <f t="shared" si="7"/>
        <v>243.75610162853022</v>
      </c>
      <c r="N59" s="6">
        <f t="shared" si="8"/>
        <v>243.35680931601735</v>
      </c>
      <c r="O59" s="6">
        <f t="shared" si="9"/>
        <v>241.40035253679659</v>
      </c>
      <c r="P59" s="2"/>
    </row>
    <row r="60" spans="1:16" x14ac:dyDescent="0.25">
      <c r="A60">
        <v>206293</v>
      </c>
      <c r="B60" s="11">
        <v>6.2450599999999999E-8</v>
      </c>
      <c r="C60" s="11">
        <v>2.90187E-9</v>
      </c>
      <c r="D60" s="11">
        <f t="shared" si="11"/>
        <v>0.98300497283234645</v>
      </c>
      <c r="E60" s="11">
        <f t="shared" si="3"/>
        <v>0.86381375079255929</v>
      </c>
      <c r="F60" s="12">
        <f t="shared" si="1"/>
        <v>3.4382166666666665</v>
      </c>
      <c r="G60" s="10">
        <f t="shared" si="2"/>
        <v>6.2450599999999999E-8</v>
      </c>
      <c r="H60" s="10">
        <f t="shared" si="10"/>
        <v>21.520812441632465</v>
      </c>
      <c r="I60" s="10">
        <f t="shared" si="4"/>
        <v>6.3530299160196694E-8</v>
      </c>
      <c r="J60" s="10">
        <f t="shared" si="5"/>
        <v>7.2296371692046852E-8</v>
      </c>
      <c r="K60" s="2"/>
      <c r="L60" s="6">
        <f t="shared" si="6"/>
        <v>236.308774</v>
      </c>
      <c r="M60" s="6">
        <f t="shared" si="7"/>
        <v>244.26022121252848</v>
      </c>
      <c r="N60" s="6">
        <f t="shared" si="8"/>
        <v>243.86816672476709</v>
      </c>
      <c r="O60" s="6">
        <f t="shared" si="9"/>
        <v>241.90766375295928</v>
      </c>
      <c r="P60" s="2"/>
    </row>
    <row r="61" spans="1:16" x14ac:dyDescent="0.25">
      <c r="A61">
        <v>210005</v>
      </c>
      <c r="B61" s="11">
        <v>6.2333499999999994E-8</v>
      </c>
      <c r="C61" s="11">
        <v>2.9180000000000001E-9</v>
      </c>
      <c r="D61" s="11">
        <f t="shared" si="11"/>
        <v>0.98846899093508223</v>
      </c>
      <c r="E61" s="11">
        <f t="shared" si="3"/>
        <v>0.86861524631106424</v>
      </c>
      <c r="F61" s="12">
        <f t="shared" si="1"/>
        <v>3.5000833333333334</v>
      </c>
      <c r="G61" s="10">
        <f t="shared" si="2"/>
        <v>6.2333499999999994E-8</v>
      </c>
      <c r="H61" s="10">
        <f t="shared" si="10"/>
        <v>21.361720356408497</v>
      </c>
      <c r="I61" s="10">
        <f t="shared" si="4"/>
        <v>6.3060652960932137E-8</v>
      </c>
      <c r="J61" s="10">
        <f t="shared" si="5"/>
        <v>7.1761922513708012E-8</v>
      </c>
      <c r="K61" s="2"/>
      <c r="L61" s="6">
        <f t="shared" si="6"/>
        <v>235.86496499999998</v>
      </c>
      <c r="M61" s="6">
        <f t="shared" si="7"/>
        <v>242.45452604523643</v>
      </c>
      <c r="N61" s="6">
        <f t="shared" si="8"/>
        <v>242.03654654763534</v>
      </c>
      <c r="O61" s="6">
        <f t="shared" si="9"/>
        <v>240.09053654660724</v>
      </c>
      <c r="P61" s="2"/>
    </row>
    <row r="62" spans="1:16" x14ac:dyDescent="0.25">
      <c r="A62">
        <v>213717</v>
      </c>
      <c r="B62" s="11">
        <v>6.2184199999999994E-8</v>
      </c>
      <c r="C62" s="11">
        <v>2.9181600000000002E-9</v>
      </c>
      <c r="D62" s="11">
        <f t="shared" si="11"/>
        <v>0.98852319074267292</v>
      </c>
      <c r="E62" s="11">
        <f t="shared" si="3"/>
        <v>0.86866287428892919</v>
      </c>
      <c r="F62" s="12">
        <f t="shared" si="1"/>
        <v>3.5619499999999999</v>
      </c>
      <c r="G62" s="10">
        <f t="shared" si="2"/>
        <v>6.2184199999999994E-8</v>
      </c>
      <c r="H62" s="10">
        <f t="shared" si="10"/>
        <v>21.309386736847873</v>
      </c>
      <c r="I62" s="10">
        <f t="shared" si="4"/>
        <v>6.2906162022644393E-8</v>
      </c>
      <c r="J62" s="10">
        <f t="shared" si="5"/>
        <v>7.1586114522164637E-8</v>
      </c>
      <c r="K62" s="2"/>
      <c r="L62" s="6">
        <f t="shared" si="6"/>
        <v>235.29911799999999</v>
      </c>
      <c r="M62" s="6">
        <f t="shared" si="7"/>
        <v>241.86053946322335</v>
      </c>
      <c r="N62" s="6">
        <f t="shared" si="8"/>
        <v>241.43403188831311</v>
      </c>
      <c r="O62" s="6">
        <f t="shared" si="9"/>
        <v>239.49278937535976</v>
      </c>
      <c r="P62" s="2"/>
    </row>
    <row r="63" spans="1:16" x14ac:dyDescent="0.25">
      <c r="A63">
        <v>217429</v>
      </c>
      <c r="B63" s="11">
        <v>6.2168599999999997E-8</v>
      </c>
      <c r="C63" s="11">
        <v>2.9222199999999999E-9</v>
      </c>
      <c r="D63" s="11">
        <f t="shared" si="11"/>
        <v>0.98989851086028635</v>
      </c>
      <c r="E63" s="11">
        <f t="shared" si="3"/>
        <v>0.86987143422725088</v>
      </c>
      <c r="F63" s="12">
        <f t="shared" si="1"/>
        <v>3.6238166666666665</v>
      </c>
      <c r="G63" s="10">
        <f t="shared" si="2"/>
        <v>6.2168599999999997E-8</v>
      </c>
      <c r="H63" s="10">
        <f t="shared" si="10"/>
        <v>21.274442033796223</v>
      </c>
      <c r="I63" s="10">
        <f t="shared" si="4"/>
        <v>6.2803003861447801E-8</v>
      </c>
      <c r="J63" s="10">
        <f t="shared" si="5"/>
        <v>7.1468722335074018E-8</v>
      </c>
      <c r="K63" s="2"/>
      <c r="L63" s="6">
        <f t="shared" si="6"/>
        <v>235.239994</v>
      </c>
      <c r="M63" s="6">
        <f t="shared" si="7"/>
        <v>241.46391708358712</v>
      </c>
      <c r="N63" s="6">
        <f t="shared" si="8"/>
        <v>241.03171505964642</v>
      </c>
      <c r="O63" s="6">
        <f t="shared" si="9"/>
        <v>239.09365593925165</v>
      </c>
      <c r="P63" s="2"/>
    </row>
    <row r="64" spans="1:16" x14ac:dyDescent="0.25">
      <c r="A64">
        <v>221141</v>
      </c>
      <c r="B64" s="11">
        <v>6.2099099999999998E-8</v>
      </c>
      <c r="C64" s="11">
        <v>2.89996E-9</v>
      </c>
      <c r="D64" s="11">
        <f t="shared" si="11"/>
        <v>0.98235796262923258</v>
      </c>
      <c r="E64" s="11">
        <f t="shared" si="3"/>
        <v>0.86324519180679704</v>
      </c>
      <c r="F64" s="12">
        <f t="shared" si="1"/>
        <v>3.6856833333333334</v>
      </c>
      <c r="G64" s="10">
        <f t="shared" si="2"/>
        <v>6.2099099999999998E-8</v>
      </c>
      <c r="H64" s="10">
        <f t="shared" si="10"/>
        <v>21.413778121077531</v>
      </c>
      <c r="I64" s="10">
        <f t="shared" si="4"/>
        <v>6.3214329564545727E-8</v>
      </c>
      <c r="J64" s="10">
        <f t="shared" si="5"/>
        <v>7.1936803806604228E-8</v>
      </c>
      <c r="K64" s="2"/>
      <c r="L64" s="6">
        <f t="shared" si="6"/>
        <v>234.97658899999999</v>
      </c>
      <c r="M64" s="6">
        <f t="shared" si="7"/>
        <v>243.04538167422996</v>
      </c>
      <c r="N64" s="6">
        <f t="shared" si="8"/>
        <v>242.63588530172834</v>
      </c>
      <c r="O64" s="6">
        <f t="shared" si="9"/>
        <v>240.68513294245437</v>
      </c>
      <c r="P64" s="2"/>
    </row>
    <row r="65" spans="1:16" x14ac:dyDescent="0.25">
      <c r="A65">
        <v>224853</v>
      </c>
      <c r="B65" s="11">
        <v>6.2008499999999996E-8</v>
      </c>
      <c r="C65" s="11">
        <v>2.89169E-9</v>
      </c>
      <c r="D65" s="11">
        <f t="shared" si="11"/>
        <v>0.97955651007438915</v>
      </c>
      <c r="E65" s="11">
        <f t="shared" si="3"/>
        <v>0.86078342070090519</v>
      </c>
      <c r="F65" s="12">
        <f t="shared" si="1"/>
        <v>3.7475499999999999</v>
      </c>
      <c r="G65" s="10">
        <f t="shared" si="2"/>
        <v>6.2008499999999996E-8</v>
      </c>
      <c r="H65" s="10">
        <f t="shared" si="10"/>
        <v>21.443688638823662</v>
      </c>
      <c r="I65" s="10">
        <f t="shared" si="4"/>
        <v>6.3302626609353015E-8</v>
      </c>
      <c r="J65" s="10">
        <f t="shared" si="5"/>
        <v>7.2037284302605045E-8</v>
      </c>
      <c r="K65" s="2"/>
      <c r="L65" s="6">
        <f t="shared" si="6"/>
        <v>234.63321500000001</v>
      </c>
      <c r="M65" s="6">
        <f t="shared" si="7"/>
        <v>243.38486605064855</v>
      </c>
      <c r="N65" s="6">
        <f t="shared" si="8"/>
        <v>242.98024377647675</v>
      </c>
      <c r="O65" s="6">
        <f t="shared" si="9"/>
        <v>241.02676662885713</v>
      </c>
      <c r="P65" s="2"/>
    </row>
    <row r="66" spans="1:16" x14ac:dyDescent="0.25">
      <c r="A66">
        <v>228565</v>
      </c>
      <c r="B66" s="11">
        <v>6.1940499999999998E-8</v>
      </c>
      <c r="C66" s="11">
        <v>2.9058E-9</v>
      </c>
      <c r="D66" s="11">
        <f t="shared" si="11"/>
        <v>0.98433625560629257</v>
      </c>
      <c r="E66" s="11">
        <f t="shared" si="3"/>
        <v>0.86498361299886584</v>
      </c>
      <c r="F66" s="12">
        <f t="shared" si="1"/>
        <v>3.8094166666666665</v>
      </c>
      <c r="G66" s="10">
        <f t="shared" si="2"/>
        <v>6.1940499999999998E-8</v>
      </c>
      <c r="H66" s="10">
        <f t="shared" si="10"/>
        <v>21.316160781884506</v>
      </c>
      <c r="I66" s="10">
        <f t="shared" si="4"/>
        <v>6.2926159274554346E-8</v>
      </c>
      <c r="J66" s="10">
        <f t="shared" si="5"/>
        <v>7.1608871045839357E-8</v>
      </c>
      <c r="K66" s="2"/>
      <c r="L66" s="6">
        <f t="shared" si="6"/>
        <v>234.375495</v>
      </c>
      <c r="M66" s="6">
        <f t="shared" si="7"/>
        <v>241.93742487438914</v>
      </c>
      <c r="N66" s="6">
        <f t="shared" si="8"/>
        <v>241.51202117076195</v>
      </c>
      <c r="O66" s="6">
        <f t="shared" si="9"/>
        <v>239.57016155585382</v>
      </c>
      <c r="P66" s="2"/>
    </row>
    <row r="67" spans="1:16" x14ac:dyDescent="0.25">
      <c r="A67">
        <v>232277</v>
      </c>
      <c r="B67" s="11">
        <v>6.1880299999999999E-8</v>
      </c>
      <c r="C67" s="11">
        <v>2.9005099999999999E-9</v>
      </c>
      <c r="D67" s="11">
        <f t="shared" si="11"/>
        <v>0.98254427446782555</v>
      </c>
      <c r="E67" s="11">
        <f t="shared" si="3"/>
        <v>0.86340891298070765</v>
      </c>
      <c r="F67" s="12">
        <f t="shared" ref="F67:F130" si="12">A67/60000</f>
        <v>3.8712833333333334</v>
      </c>
      <c r="G67" s="10">
        <f t="shared" ref="G67:G130" si="13">B67</f>
        <v>6.1880299999999999E-8</v>
      </c>
      <c r="H67" s="10">
        <f t="shared" si="10"/>
        <v>21.334282591682154</v>
      </c>
      <c r="I67" s="10">
        <f t="shared" si="4"/>
        <v>6.2979655581949385E-8</v>
      </c>
      <c r="J67" s="10">
        <f t="shared" si="5"/>
        <v>7.1669748910019275E-8</v>
      </c>
      <c r="K67" s="2"/>
      <c r="L67" s="6">
        <f t="shared" si="6"/>
        <v>234.14733699999999</v>
      </c>
      <c r="M67" s="6">
        <f t="shared" si="7"/>
        <v>242.14310741559243</v>
      </c>
      <c r="N67" s="6">
        <f t="shared" si="8"/>
        <v>241.72065676960258</v>
      </c>
      <c r="O67" s="6">
        <f t="shared" si="9"/>
        <v>239.77714629406552</v>
      </c>
      <c r="P67" s="2"/>
    </row>
    <row r="68" spans="1:16" x14ac:dyDescent="0.25">
      <c r="A68">
        <v>235989</v>
      </c>
      <c r="B68" s="11">
        <v>6.1786499999999995E-8</v>
      </c>
      <c r="C68" s="11">
        <v>2.9076000000000002E-9</v>
      </c>
      <c r="D68" s="11">
        <f t="shared" si="11"/>
        <v>0.98494600344168781</v>
      </c>
      <c r="E68" s="11">
        <f t="shared" ref="E68:E131" si="14">C68/$C$3</f>
        <v>0.86551942774984592</v>
      </c>
      <c r="F68" s="12">
        <f t="shared" si="12"/>
        <v>3.9331499999999999</v>
      </c>
      <c r="G68" s="10">
        <f t="shared" si="13"/>
        <v>6.1786499999999995E-8</v>
      </c>
      <c r="H68" s="10">
        <f t="shared" ref="H68:H131" si="15">B68/C68</f>
        <v>21.249999999999996</v>
      </c>
      <c r="I68" s="10">
        <f t="shared" ref="I68:I131" si="16">B68/D68</f>
        <v>6.2730849999999993E-8</v>
      </c>
      <c r="J68" s="10">
        <f t="shared" ref="J68:J131" si="17">B68/E68</f>
        <v>7.13866125E-8</v>
      </c>
      <c r="K68" s="2"/>
      <c r="L68" s="6">
        <f t="shared" ref="L68:L131" si="18">G68*3790000000-0.379</f>
        <v>233.79183499999999</v>
      </c>
      <c r="M68" s="6">
        <f t="shared" ref="M68:M131" si="19">H68*11.35-0.001</f>
        <v>241.18649999999994</v>
      </c>
      <c r="N68" s="6">
        <f t="shared" ref="N68:N131" si="20">I68*3900000000-3.9</f>
        <v>240.75031499999997</v>
      </c>
      <c r="O68" s="6">
        <f t="shared" ref="O68:O131" si="21">J68*3400000000-3.9</f>
        <v>238.8144825</v>
      </c>
      <c r="P68" s="2"/>
    </row>
    <row r="69" spans="1:16" x14ac:dyDescent="0.25">
      <c r="A69">
        <v>239701</v>
      </c>
      <c r="B69" s="11">
        <v>6.1712300000000007E-8</v>
      </c>
      <c r="C69" s="11">
        <v>2.89343E-9</v>
      </c>
      <c r="D69" s="11">
        <f t="shared" si="11"/>
        <v>0.98014593298193786</v>
      </c>
      <c r="E69" s="11">
        <f t="shared" si="14"/>
        <v>0.86130137496018599</v>
      </c>
      <c r="F69" s="12">
        <f t="shared" si="12"/>
        <v>3.9950166666666669</v>
      </c>
      <c r="G69" s="10">
        <f t="shared" si="13"/>
        <v>6.1712300000000007E-8</v>
      </c>
      <c r="H69" s="10">
        <f t="shared" si="15"/>
        <v>21.328423359127406</v>
      </c>
      <c r="I69" s="10">
        <f t="shared" si="16"/>
        <v>6.2962358893078472E-8</v>
      </c>
      <c r="J69" s="10">
        <f t="shared" si="17"/>
        <v>7.1650065579951833E-8</v>
      </c>
      <c r="K69" s="2"/>
      <c r="L69" s="6">
        <f t="shared" si="18"/>
        <v>233.51061700000002</v>
      </c>
      <c r="M69" s="6">
        <f t="shared" si="19"/>
        <v>242.07660512609604</v>
      </c>
      <c r="N69" s="6">
        <f t="shared" si="20"/>
        <v>241.65319968300602</v>
      </c>
      <c r="O69" s="6">
        <f t="shared" si="21"/>
        <v>239.71022297183623</v>
      </c>
      <c r="P69" s="2"/>
    </row>
    <row r="70" spans="1:16" x14ac:dyDescent="0.25">
      <c r="A70">
        <v>243413</v>
      </c>
      <c r="B70" s="11">
        <v>6.1620200000000003E-8</v>
      </c>
      <c r="C70" s="11">
        <v>2.8988600000000001E-9</v>
      </c>
      <c r="D70" s="11">
        <f t="shared" si="11"/>
        <v>0.98198533895204676</v>
      </c>
      <c r="E70" s="11">
        <f t="shared" si="14"/>
        <v>0.86291774945897592</v>
      </c>
      <c r="F70" s="12">
        <f t="shared" si="12"/>
        <v>4.0568833333333334</v>
      </c>
      <c r="G70" s="10">
        <f t="shared" si="13"/>
        <v>6.1620200000000003E-8</v>
      </c>
      <c r="H70" s="10">
        <f t="shared" si="15"/>
        <v>21.256700910012903</v>
      </c>
      <c r="I70" s="10">
        <f t="shared" si="16"/>
        <v>6.2750631354394484E-8</v>
      </c>
      <c r="J70" s="10">
        <f t="shared" si="17"/>
        <v>7.1409123336070047E-8</v>
      </c>
      <c r="K70" s="2"/>
      <c r="L70" s="6">
        <f t="shared" si="18"/>
        <v>233.16155800000001</v>
      </c>
      <c r="M70" s="6">
        <f t="shared" si="19"/>
        <v>241.26255532864644</v>
      </c>
      <c r="N70" s="6">
        <f t="shared" si="20"/>
        <v>240.82746228213847</v>
      </c>
      <c r="O70" s="6">
        <f t="shared" si="21"/>
        <v>238.89101934263815</v>
      </c>
      <c r="P70" s="2"/>
    </row>
    <row r="71" spans="1:16" x14ac:dyDescent="0.25">
      <c r="A71">
        <v>247125</v>
      </c>
      <c r="B71" s="11">
        <v>6.1523399999999996E-8</v>
      </c>
      <c r="C71" s="11">
        <v>2.8911899999999998E-9</v>
      </c>
      <c r="D71" s="11">
        <f t="shared" si="11"/>
        <v>0.97938713567566826</v>
      </c>
      <c r="E71" s="11">
        <f t="shared" si="14"/>
        <v>0.86063458327007736</v>
      </c>
      <c r="F71" s="12">
        <f t="shared" si="12"/>
        <v>4.1187500000000004</v>
      </c>
      <c r="G71" s="10">
        <f t="shared" si="13"/>
        <v>6.1523399999999996E-8</v>
      </c>
      <c r="H71" s="10">
        <f t="shared" si="15"/>
        <v>21.279611509447665</v>
      </c>
      <c r="I71" s="10">
        <f t="shared" si="16"/>
        <v>6.2818264360349897E-8</v>
      </c>
      <c r="J71" s="10">
        <f t="shared" si="17"/>
        <v>7.1486088516493213E-8</v>
      </c>
      <c r="K71" s="2"/>
      <c r="L71" s="6">
        <f t="shared" si="18"/>
        <v>232.79468599999998</v>
      </c>
      <c r="M71" s="6">
        <f t="shared" si="19"/>
        <v>241.52259063223099</v>
      </c>
      <c r="N71" s="6">
        <f t="shared" si="20"/>
        <v>241.09123100536459</v>
      </c>
      <c r="O71" s="6">
        <f t="shared" si="21"/>
        <v>239.15270095607693</v>
      </c>
      <c r="P71" s="2"/>
    </row>
    <row r="72" spans="1:16" x14ac:dyDescent="0.25">
      <c r="A72">
        <v>250837</v>
      </c>
      <c r="B72" s="11">
        <v>6.1426499999999998E-8</v>
      </c>
      <c r="C72" s="11">
        <v>2.8997800000000001E-9</v>
      </c>
      <c r="D72" s="11">
        <f t="shared" si="11"/>
        <v>0.98229698784569319</v>
      </c>
      <c r="E72" s="11">
        <f t="shared" si="14"/>
        <v>0.86319161033169911</v>
      </c>
      <c r="F72" s="12">
        <f t="shared" si="12"/>
        <v>4.1806166666666664</v>
      </c>
      <c r="G72" s="10">
        <f t="shared" si="13"/>
        <v>6.1426499999999998E-8</v>
      </c>
      <c r="H72" s="10">
        <f t="shared" si="15"/>
        <v>21.183158722385834</v>
      </c>
      <c r="I72" s="10">
        <f t="shared" si="16"/>
        <v>6.2533531874831882E-8</v>
      </c>
      <c r="J72" s="10">
        <f t="shared" si="17"/>
        <v>7.1162067917221304E-8</v>
      </c>
      <c r="K72" s="2"/>
      <c r="L72" s="6">
        <f t="shared" si="18"/>
        <v>232.427435</v>
      </c>
      <c r="M72" s="6">
        <f t="shared" si="19"/>
        <v>240.4278514990792</v>
      </c>
      <c r="N72" s="6">
        <f t="shared" si="20"/>
        <v>239.98077431184433</v>
      </c>
      <c r="O72" s="6">
        <f t="shared" si="21"/>
        <v>238.05103091855241</v>
      </c>
      <c r="P72" s="2"/>
    </row>
    <row r="73" spans="1:16" x14ac:dyDescent="0.25">
      <c r="A73">
        <v>254549</v>
      </c>
      <c r="B73" s="11">
        <v>6.1277199999999998E-8</v>
      </c>
      <c r="C73" s="11">
        <v>2.89487E-9</v>
      </c>
      <c r="D73" s="11">
        <f t="shared" si="11"/>
        <v>0.98063373125025399</v>
      </c>
      <c r="E73" s="11">
        <f t="shared" si="14"/>
        <v>0.86173002676096999</v>
      </c>
      <c r="F73" s="12">
        <f t="shared" si="12"/>
        <v>4.2424833333333334</v>
      </c>
      <c r="G73" s="10">
        <f t="shared" si="13"/>
        <v>6.1277199999999998E-8</v>
      </c>
      <c r="H73" s="10">
        <f t="shared" si="15"/>
        <v>21.167513567103185</v>
      </c>
      <c r="I73" s="10">
        <f t="shared" si="16"/>
        <v>6.2487346750631287E-8</v>
      </c>
      <c r="J73" s="10">
        <f t="shared" si="17"/>
        <v>7.1109510051919429E-8</v>
      </c>
      <c r="K73" s="2"/>
      <c r="L73" s="6">
        <f t="shared" si="18"/>
        <v>231.86158800000001</v>
      </c>
      <c r="M73" s="6">
        <f t="shared" si="19"/>
        <v>240.25027898662114</v>
      </c>
      <c r="N73" s="6">
        <f t="shared" si="20"/>
        <v>239.80065232746202</v>
      </c>
      <c r="O73" s="6">
        <f t="shared" si="21"/>
        <v>237.87233417652607</v>
      </c>
      <c r="P73" s="2"/>
    </row>
    <row r="74" spans="1:16" x14ac:dyDescent="0.25">
      <c r="A74">
        <v>258261</v>
      </c>
      <c r="B74" s="11">
        <v>6.1292799999999994E-8</v>
      </c>
      <c r="C74" s="11">
        <v>2.8883099999999999E-9</v>
      </c>
      <c r="D74" s="11">
        <f t="shared" si="11"/>
        <v>0.978411539139036</v>
      </c>
      <c r="E74" s="11">
        <f t="shared" si="14"/>
        <v>0.85977727966850925</v>
      </c>
      <c r="F74" s="12">
        <f t="shared" si="12"/>
        <v>4.3043500000000003</v>
      </c>
      <c r="G74" s="10">
        <f t="shared" si="13"/>
        <v>6.1292799999999994E-8</v>
      </c>
      <c r="H74" s="10">
        <f t="shared" si="15"/>
        <v>21.22099082162233</v>
      </c>
      <c r="I74" s="10">
        <f t="shared" si="16"/>
        <v>6.2645213745061994E-8</v>
      </c>
      <c r="J74" s="10">
        <f t="shared" si="17"/>
        <v>7.1289159936433415E-8</v>
      </c>
      <c r="K74" s="2"/>
      <c r="L74" s="6">
        <f t="shared" si="18"/>
        <v>231.92071199999998</v>
      </c>
      <c r="M74" s="6">
        <f t="shared" si="19"/>
        <v>240.85724582541343</v>
      </c>
      <c r="N74" s="6">
        <f t="shared" si="20"/>
        <v>240.41633360574178</v>
      </c>
      <c r="O74" s="6">
        <f t="shared" si="21"/>
        <v>238.4831437838736</v>
      </c>
      <c r="P74" s="2"/>
    </row>
    <row r="75" spans="1:16" x14ac:dyDescent="0.25">
      <c r="A75">
        <v>261973</v>
      </c>
      <c r="B75" s="11">
        <v>6.1145900000000005E-8</v>
      </c>
      <c r="C75" s="11">
        <v>2.9214400000000002E-9</v>
      </c>
      <c r="D75" s="11">
        <f t="shared" si="11"/>
        <v>0.98963428679828191</v>
      </c>
      <c r="E75" s="11">
        <f t="shared" si="14"/>
        <v>0.86963924783515956</v>
      </c>
      <c r="F75" s="12">
        <f t="shared" si="12"/>
        <v>4.3662166666666664</v>
      </c>
      <c r="G75" s="10">
        <f t="shared" si="13"/>
        <v>6.1145900000000005E-8</v>
      </c>
      <c r="H75" s="10">
        <f t="shared" si="15"/>
        <v>20.930055041349473</v>
      </c>
      <c r="I75" s="10">
        <f t="shared" si="16"/>
        <v>6.1786359684265296E-8</v>
      </c>
      <c r="J75" s="10">
        <f t="shared" si="17"/>
        <v>7.031179900425818E-8</v>
      </c>
      <c r="K75" s="2"/>
      <c r="L75" s="6">
        <f t="shared" si="18"/>
        <v>231.36396100000002</v>
      </c>
      <c r="M75" s="6">
        <f t="shared" si="19"/>
        <v>237.5551247193165</v>
      </c>
      <c r="N75" s="6">
        <f t="shared" si="20"/>
        <v>237.06680276863466</v>
      </c>
      <c r="O75" s="6">
        <f t="shared" si="21"/>
        <v>235.1601166144778</v>
      </c>
      <c r="P75" s="2"/>
    </row>
    <row r="76" spans="1:16" x14ac:dyDescent="0.25">
      <c r="A76">
        <v>265685</v>
      </c>
      <c r="B76" s="11">
        <v>6.0920099999999998E-8</v>
      </c>
      <c r="C76" s="11">
        <v>2.9085900000000002E-9</v>
      </c>
      <c r="D76" s="11">
        <f t="shared" ref="D76:D139" si="22">C76/$C$11</f>
        <v>0.98528136475115513</v>
      </c>
      <c r="E76" s="11">
        <f t="shared" si="14"/>
        <v>0.86581412586288498</v>
      </c>
      <c r="F76" s="12">
        <f t="shared" si="12"/>
        <v>4.4280833333333334</v>
      </c>
      <c r="G76" s="10">
        <f t="shared" si="13"/>
        <v>6.0920099999999998E-8</v>
      </c>
      <c r="H76" s="10">
        <f t="shared" si="15"/>
        <v>20.944890823388651</v>
      </c>
      <c r="I76" s="10">
        <f t="shared" si="16"/>
        <v>6.1830155506276236E-8</v>
      </c>
      <c r="J76" s="10">
        <f t="shared" si="17"/>
        <v>7.0361637885367142E-8</v>
      </c>
      <c r="K76" s="2"/>
      <c r="L76" s="6">
        <f t="shared" si="18"/>
        <v>230.50817900000001</v>
      </c>
      <c r="M76" s="6">
        <f t="shared" si="19"/>
        <v>237.72351084546116</v>
      </c>
      <c r="N76" s="6">
        <f t="shared" si="20"/>
        <v>237.2376064744773</v>
      </c>
      <c r="O76" s="6">
        <f t="shared" si="21"/>
        <v>235.32956881024828</v>
      </c>
      <c r="P76" s="2"/>
    </row>
    <row r="77" spans="1:16" x14ac:dyDescent="0.25">
      <c r="A77">
        <v>269397</v>
      </c>
      <c r="B77" s="11">
        <v>6.0804700000000004E-8</v>
      </c>
      <c r="C77" s="11">
        <v>2.9015200000000001E-9</v>
      </c>
      <c r="D77" s="11">
        <f t="shared" si="22"/>
        <v>0.98288641075324179</v>
      </c>
      <c r="E77" s="11">
        <f t="shared" si="14"/>
        <v>0.86370956459097981</v>
      </c>
      <c r="F77" s="12">
        <f t="shared" si="12"/>
        <v>4.4899500000000003</v>
      </c>
      <c r="G77" s="10">
        <f t="shared" si="13"/>
        <v>6.0804700000000004E-8</v>
      </c>
      <c r="H77" s="10">
        <f t="shared" si="15"/>
        <v>20.95615401582619</v>
      </c>
      <c r="I77" s="10">
        <f t="shared" si="16"/>
        <v>6.1863404900879546E-8</v>
      </c>
      <c r="J77" s="10">
        <f t="shared" si="17"/>
        <v>7.0399475116146028E-8</v>
      </c>
      <c r="K77" s="2"/>
      <c r="L77" s="6">
        <f t="shared" si="18"/>
        <v>230.07081300000002</v>
      </c>
      <c r="M77" s="6">
        <f t="shared" si="19"/>
        <v>237.85134807962723</v>
      </c>
      <c r="N77" s="6">
        <f t="shared" si="20"/>
        <v>237.36727911343021</v>
      </c>
      <c r="O77" s="6">
        <f t="shared" si="21"/>
        <v>235.45821539489648</v>
      </c>
      <c r="P77" s="2"/>
    </row>
    <row r="78" spans="1:16" x14ac:dyDescent="0.25">
      <c r="A78">
        <v>273109</v>
      </c>
      <c r="B78" s="11">
        <v>6.0738999999999999E-8</v>
      </c>
      <c r="C78" s="11">
        <v>2.9119699999999998E-9</v>
      </c>
      <c r="D78" s="11">
        <f t="shared" si="22"/>
        <v>0.98642633568650828</v>
      </c>
      <c r="E78" s="11">
        <f t="shared" si="14"/>
        <v>0.86682026689528091</v>
      </c>
      <c r="F78" s="12">
        <f t="shared" si="12"/>
        <v>4.5518166666666664</v>
      </c>
      <c r="G78" s="10">
        <f t="shared" si="13"/>
        <v>6.0738999999999999E-8</v>
      </c>
      <c r="H78" s="10">
        <f t="shared" si="15"/>
        <v>20.858387964161718</v>
      </c>
      <c r="I78" s="10">
        <f t="shared" si="16"/>
        <v>6.1574795605723959E-8</v>
      </c>
      <c r="J78" s="10">
        <f t="shared" si="17"/>
        <v>7.007104277516596E-8</v>
      </c>
      <c r="K78" s="2"/>
      <c r="L78" s="6">
        <f t="shared" si="18"/>
        <v>229.82181</v>
      </c>
      <c r="M78" s="6">
        <f t="shared" si="19"/>
        <v>236.7417033932355</v>
      </c>
      <c r="N78" s="6">
        <f t="shared" si="20"/>
        <v>236.24170286232342</v>
      </c>
      <c r="O78" s="6">
        <f t="shared" si="21"/>
        <v>234.34154543556426</v>
      </c>
      <c r="P78" s="2"/>
    </row>
    <row r="79" spans="1:16" x14ac:dyDescent="0.25">
      <c r="A79">
        <v>276821</v>
      </c>
      <c r="B79" s="11">
        <v>6.0572400000000003E-8</v>
      </c>
      <c r="C79" s="11">
        <v>2.8893500000000002E-9</v>
      </c>
      <c r="D79" s="11">
        <f t="shared" si="22"/>
        <v>0.97876383788837551</v>
      </c>
      <c r="E79" s="11">
        <f t="shared" si="14"/>
        <v>0.8600868615246311</v>
      </c>
      <c r="F79" s="12">
        <f t="shared" si="12"/>
        <v>4.6136833333333334</v>
      </c>
      <c r="G79" s="10">
        <f t="shared" si="13"/>
        <v>6.0572400000000003E-8</v>
      </c>
      <c r="H79" s="10">
        <f t="shared" si="15"/>
        <v>20.964023050166993</v>
      </c>
      <c r="I79" s="10">
        <f t="shared" si="16"/>
        <v>6.1886634605014974E-8</v>
      </c>
      <c r="J79" s="10">
        <f t="shared" si="17"/>
        <v>7.0425910114039489E-8</v>
      </c>
      <c r="K79" s="2"/>
      <c r="L79" s="6">
        <f t="shared" si="18"/>
        <v>229.19039600000002</v>
      </c>
      <c r="M79" s="6">
        <f t="shared" si="19"/>
        <v>237.94066161939537</v>
      </c>
      <c r="N79" s="6">
        <f t="shared" si="20"/>
        <v>237.45787495955838</v>
      </c>
      <c r="O79" s="6">
        <f t="shared" si="21"/>
        <v>235.54809438773427</v>
      </c>
      <c r="P79" s="2"/>
    </row>
    <row r="80" spans="1:16" x14ac:dyDescent="0.25">
      <c r="A80">
        <v>280533</v>
      </c>
      <c r="B80" s="11">
        <v>6.0336500000000006E-8</v>
      </c>
      <c r="C80" s="11">
        <v>2.8929100000000001E-9</v>
      </c>
      <c r="D80" s="11">
        <f t="shared" si="22"/>
        <v>0.97996978360726816</v>
      </c>
      <c r="E80" s="11">
        <f t="shared" si="14"/>
        <v>0.86114658403212507</v>
      </c>
      <c r="F80" s="12">
        <f t="shared" si="12"/>
        <v>4.6755500000000003</v>
      </c>
      <c r="G80" s="10">
        <f t="shared" si="13"/>
        <v>6.0336500000000006E-8</v>
      </c>
      <c r="H80" s="10">
        <f t="shared" si="15"/>
        <v>20.856680643366023</v>
      </c>
      <c r="I80" s="10">
        <f t="shared" si="16"/>
        <v>6.1569755526442239E-8</v>
      </c>
      <c r="J80" s="10">
        <f t="shared" si="17"/>
        <v>7.0065307252904518E-8</v>
      </c>
      <c r="K80" s="2"/>
      <c r="L80" s="6">
        <f t="shared" si="18"/>
        <v>228.29633500000003</v>
      </c>
      <c r="M80" s="6">
        <f t="shared" si="19"/>
        <v>236.72232530220435</v>
      </c>
      <c r="N80" s="6">
        <f t="shared" si="20"/>
        <v>236.22204655312473</v>
      </c>
      <c r="O80" s="6">
        <f t="shared" si="21"/>
        <v>234.32204465987536</v>
      </c>
      <c r="P80" s="2"/>
    </row>
    <row r="81" spans="1:16" x14ac:dyDescent="0.25">
      <c r="A81">
        <v>284245</v>
      </c>
      <c r="B81" s="11">
        <v>6.0168600000000006E-8</v>
      </c>
      <c r="C81" s="11">
        <v>2.8666399999999999E-9</v>
      </c>
      <c r="D81" s="11">
        <f t="shared" si="22"/>
        <v>0.97107085269847282</v>
      </c>
      <c r="E81" s="11">
        <f t="shared" si="14"/>
        <v>0.85332666541643221</v>
      </c>
      <c r="F81" s="12">
        <f t="shared" si="12"/>
        <v>4.7374166666666664</v>
      </c>
      <c r="G81" s="10">
        <f t="shared" si="13"/>
        <v>6.0168600000000006E-8</v>
      </c>
      <c r="H81" s="10">
        <f t="shared" si="15"/>
        <v>20.98924176038847</v>
      </c>
      <c r="I81" s="10">
        <f t="shared" si="16"/>
        <v>6.196108124633719E-8</v>
      </c>
      <c r="J81" s="10">
        <f t="shared" si="17"/>
        <v>7.0510629092596218E-8</v>
      </c>
      <c r="K81" s="2"/>
      <c r="L81" s="6">
        <f t="shared" si="18"/>
        <v>227.65999400000004</v>
      </c>
      <c r="M81" s="6">
        <f t="shared" si="19"/>
        <v>238.22689398040913</v>
      </c>
      <c r="N81" s="6">
        <f t="shared" si="20"/>
        <v>237.74821686071505</v>
      </c>
      <c r="O81" s="6">
        <f t="shared" si="21"/>
        <v>235.83613891482713</v>
      </c>
      <c r="P81" s="2"/>
    </row>
    <row r="82" spans="1:16" x14ac:dyDescent="0.25">
      <c r="A82">
        <v>287957</v>
      </c>
      <c r="B82" s="11">
        <v>5.9931999999999997E-8</v>
      </c>
      <c r="C82" s="11">
        <v>2.8864299999999999E-9</v>
      </c>
      <c r="D82" s="11">
        <f t="shared" si="22"/>
        <v>0.97777469139984552</v>
      </c>
      <c r="E82" s="11">
        <f t="shared" si="14"/>
        <v>0.8592176509285967</v>
      </c>
      <c r="F82" s="12">
        <f t="shared" si="12"/>
        <v>4.7992833333333333</v>
      </c>
      <c r="G82" s="10">
        <f t="shared" si="13"/>
        <v>5.9931999999999997E-8</v>
      </c>
      <c r="H82" s="10">
        <f t="shared" si="15"/>
        <v>20.763365125778211</v>
      </c>
      <c r="I82" s="10">
        <f t="shared" si="16"/>
        <v>6.1294284385902312E-8</v>
      </c>
      <c r="J82" s="10">
        <f t="shared" si="17"/>
        <v>6.9751825902585552E-8</v>
      </c>
      <c r="K82" s="2"/>
      <c r="L82" s="6">
        <f t="shared" si="18"/>
        <v>226.76328000000001</v>
      </c>
      <c r="M82" s="6">
        <f t="shared" si="19"/>
        <v>235.66319417758268</v>
      </c>
      <c r="N82" s="6">
        <f t="shared" si="20"/>
        <v>235.147709105019</v>
      </c>
      <c r="O82" s="6">
        <f t="shared" si="21"/>
        <v>233.25620806879087</v>
      </c>
      <c r="P82" s="2"/>
    </row>
    <row r="83" spans="1:16" x14ac:dyDescent="0.25">
      <c r="A83">
        <v>291669</v>
      </c>
      <c r="B83" s="11">
        <v>5.9849100000000001E-8</v>
      </c>
      <c r="C83" s="11">
        <v>2.88871E-9</v>
      </c>
      <c r="D83" s="11">
        <f t="shared" si="22"/>
        <v>0.97854703865801274</v>
      </c>
      <c r="E83" s="11">
        <f t="shared" si="14"/>
        <v>0.85989634961317152</v>
      </c>
      <c r="F83" s="12">
        <f t="shared" si="12"/>
        <v>4.8611500000000003</v>
      </c>
      <c r="G83" s="10">
        <f t="shared" si="13"/>
        <v>5.9849100000000001E-8</v>
      </c>
      <c r="H83" s="10">
        <f t="shared" si="15"/>
        <v>20.71827909343617</v>
      </c>
      <c r="I83" s="10">
        <f t="shared" si="16"/>
        <v>6.1161188614987313E-8</v>
      </c>
      <c r="J83" s="10">
        <f t="shared" si="17"/>
        <v>6.9600365238116673E-8</v>
      </c>
      <c r="K83" s="2"/>
      <c r="L83" s="6">
        <f t="shared" si="18"/>
        <v>226.44908900000001</v>
      </c>
      <c r="M83" s="6">
        <f t="shared" si="19"/>
        <v>235.15146771050053</v>
      </c>
      <c r="N83" s="6">
        <f t="shared" si="20"/>
        <v>234.62863559845053</v>
      </c>
      <c r="O83" s="6">
        <f t="shared" si="21"/>
        <v>232.74124180959669</v>
      </c>
      <c r="P83" s="2"/>
    </row>
    <row r="84" spans="1:16" x14ac:dyDescent="0.25">
      <c r="A84">
        <v>295381</v>
      </c>
      <c r="B84" s="11">
        <v>5.9604699999999994E-8</v>
      </c>
      <c r="C84" s="11">
        <v>2.8835100000000001E-9</v>
      </c>
      <c r="D84" s="11">
        <f t="shared" si="22"/>
        <v>0.97678554491131553</v>
      </c>
      <c r="E84" s="11">
        <f t="shared" si="14"/>
        <v>0.8583484403325623</v>
      </c>
      <c r="F84" s="12">
        <f t="shared" si="12"/>
        <v>4.9230166666666664</v>
      </c>
      <c r="G84" s="10">
        <f t="shared" si="13"/>
        <v>5.9604699999999994E-8</v>
      </c>
      <c r="H84" s="10">
        <f t="shared" si="15"/>
        <v>20.670883749319405</v>
      </c>
      <c r="I84" s="10">
        <f t="shared" si="16"/>
        <v>6.1021275663340849E-8</v>
      </c>
      <c r="J84" s="10">
        <f t="shared" si="17"/>
        <v>6.944114674095113E-8</v>
      </c>
      <c r="K84" s="2"/>
      <c r="L84" s="6">
        <f t="shared" si="18"/>
        <v>225.52281299999999</v>
      </c>
      <c r="M84" s="6">
        <f t="shared" si="19"/>
        <v>234.61353055477522</v>
      </c>
      <c r="N84" s="6">
        <f t="shared" si="20"/>
        <v>234.0829750870293</v>
      </c>
      <c r="O84" s="6">
        <f t="shared" si="21"/>
        <v>232.19989891923385</v>
      </c>
      <c r="P84" s="2"/>
    </row>
    <row r="85" spans="1:16" x14ac:dyDescent="0.25">
      <c r="A85">
        <v>299093</v>
      </c>
      <c r="B85" s="11">
        <v>5.9456900000000002E-8</v>
      </c>
      <c r="C85" s="11">
        <v>2.8927199999999999E-9</v>
      </c>
      <c r="D85" s="11">
        <f t="shared" si="22"/>
        <v>0.9799054213357542</v>
      </c>
      <c r="E85" s="11">
        <f t="shared" si="14"/>
        <v>0.86109002580841043</v>
      </c>
      <c r="F85" s="12">
        <f t="shared" si="12"/>
        <v>4.9848833333333333</v>
      </c>
      <c r="G85" s="10">
        <f t="shared" si="13"/>
        <v>5.9456900000000002E-8</v>
      </c>
      <c r="H85" s="10">
        <f t="shared" si="15"/>
        <v>20.553976879891593</v>
      </c>
      <c r="I85" s="10">
        <f t="shared" si="16"/>
        <v>6.0676161908515173E-8</v>
      </c>
      <c r="J85" s="10">
        <f t="shared" si="17"/>
        <v>6.9048413311001421E-8</v>
      </c>
      <c r="K85" s="2"/>
      <c r="L85" s="6">
        <f t="shared" si="18"/>
        <v>224.96265100000002</v>
      </c>
      <c r="M85" s="6">
        <f t="shared" si="19"/>
        <v>233.28663758676956</v>
      </c>
      <c r="N85" s="6">
        <f t="shared" si="20"/>
        <v>232.73703144320916</v>
      </c>
      <c r="O85" s="6">
        <f t="shared" si="21"/>
        <v>230.86460525740483</v>
      </c>
      <c r="P85" s="2"/>
    </row>
    <row r="86" spans="1:16" x14ac:dyDescent="0.25">
      <c r="A86">
        <v>302805</v>
      </c>
      <c r="B86" s="11">
        <v>5.9206000000000001E-8</v>
      </c>
      <c r="C86" s="11">
        <v>2.8944800000000001E-9</v>
      </c>
      <c r="D86" s="11">
        <f t="shared" si="22"/>
        <v>0.98050161921925183</v>
      </c>
      <c r="E86" s="11">
        <f t="shared" si="14"/>
        <v>0.86161393356492433</v>
      </c>
      <c r="F86" s="12">
        <f t="shared" si="12"/>
        <v>5.0467500000000003</v>
      </c>
      <c r="G86" s="10">
        <f t="shared" si="13"/>
        <v>5.9206000000000001E-8</v>
      </c>
      <c r="H86" s="10">
        <f t="shared" si="15"/>
        <v>20.454796716508664</v>
      </c>
      <c r="I86" s="10">
        <f t="shared" si="16"/>
        <v>6.038337809900223E-8</v>
      </c>
      <c r="J86" s="10">
        <f t="shared" si="17"/>
        <v>6.871523044553772E-8</v>
      </c>
      <c r="K86" s="2"/>
      <c r="L86" s="6">
        <f t="shared" si="18"/>
        <v>224.01174</v>
      </c>
      <c r="M86" s="6">
        <f t="shared" si="19"/>
        <v>232.16094273237331</v>
      </c>
      <c r="N86" s="6">
        <f t="shared" si="20"/>
        <v>231.5951745861087</v>
      </c>
      <c r="O86" s="6">
        <f t="shared" si="21"/>
        <v>229.73178351482824</v>
      </c>
      <c r="P86" s="2"/>
    </row>
    <row r="87" spans="1:16" x14ac:dyDescent="0.25">
      <c r="A87">
        <v>306517</v>
      </c>
      <c r="B87" s="11">
        <v>5.9070099999999998E-8</v>
      </c>
      <c r="C87" s="11">
        <v>2.8745900000000001E-9</v>
      </c>
      <c r="D87" s="11">
        <f t="shared" si="22"/>
        <v>0.97376390563813497</v>
      </c>
      <c r="E87" s="11">
        <f t="shared" si="14"/>
        <v>0.85569318056659427</v>
      </c>
      <c r="F87" s="12">
        <f t="shared" si="12"/>
        <v>5.1086166666666664</v>
      </c>
      <c r="G87" s="10">
        <f t="shared" si="13"/>
        <v>5.9070099999999998E-8</v>
      </c>
      <c r="H87" s="10">
        <f t="shared" si="15"/>
        <v>20.549052212663369</v>
      </c>
      <c r="I87" s="10">
        <f t="shared" si="16"/>
        <v>6.0661624093870775E-8</v>
      </c>
      <c r="J87" s="10">
        <f t="shared" si="17"/>
        <v>6.9031869531654953E-8</v>
      </c>
      <c r="K87" s="2"/>
      <c r="L87" s="6">
        <f t="shared" si="18"/>
        <v>223.496679</v>
      </c>
      <c r="M87" s="6">
        <f t="shared" si="19"/>
        <v>233.23074261372923</v>
      </c>
      <c r="N87" s="6">
        <f t="shared" si="20"/>
        <v>232.68033396609601</v>
      </c>
      <c r="O87" s="6">
        <f t="shared" si="21"/>
        <v>230.80835640762683</v>
      </c>
      <c r="P87" s="2"/>
    </row>
    <row r="88" spans="1:16" x14ac:dyDescent="0.25">
      <c r="A88">
        <v>310229</v>
      </c>
      <c r="B88" s="11">
        <v>5.8877200000000003E-8</v>
      </c>
      <c r="C88" s="11">
        <v>2.87063E-9</v>
      </c>
      <c r="D88" s="11">
        <f t="shared" si="22"/>
        <v>0.97242246040026559</v>
      </c>
      <c r="E88" s="11">
        <f t="shared" si="14"/>
        <v>0.85451438811443814</v>
      </c>
      <c r="F88" s="12">
        <f t="shared" si="12"/>
        <v>5.1704833333333333</v>
      </c>
      <c r="G88" s="10">
        <f t="shared" si="13"/>
        <v>5.8877200000000003E-8</v>
      </c>
      <c r="H88" s="10">
        <f t="shared" si="15"/>
        <v>20.510201593378458</v>
      </c>
      <c r="I88" s="10">
        <f t="shared" si="16"/>
        <v>6.0546935511716938E-8</v>
      </c>
      <c r="J88" s="10">
        <f t="shared" si="17"/>
        <v>6.8901355926747794E-8</v>
      </c>
      <c r="K88" s="2"/>
      <c r="L88" s="6">
        <f t="shared" si="18"/>
        <v>222.76558800000001</v>
      </c>
      <c r="M88" s="6">
        <f t="shared" si="19"/>
        <v>232.7897880848455</v>
      </c>
      <c r="N88" s="6">
        <f t="shared" si="20"/>
        <v>232.23304849569604</v>
      </c>
      <c r="O88" s="6">
        <f t="shared" si="21"/>
        <v>230.3646101509425</v>
      </c>
      <c r="P88" s="2"/>
    </row>
    <row r="89" spans="1:16" x14ac:dyDescent="0.25">
      <c r="A89">
        <v>313941</v>
      </c>
      <c r="B89" s="11">
        <v>5.8763799999999998E-8</v>
      </c>
      <c r="C89" s="11">
        <v>2.8878399999999998E-9</v>
      </c>
      <c r="D89" s="11">
        <f t="shared" si="22"/>
        <v>0.97825232720423838</v>
      </c>
      <c r="E89" s="11">
        <f t="shared" si="14"/>
        <v>0.859637372483531</v>
      </c>
      <c r="F89" s="12">
        <f t="shared" si="12"/>
        <v>5.2323500000000003</v>
      </c>
      <c r="G89" s="10">
        <f t="shared" si="13"/>
        <v>5.8763799999999998E-8</v>
      </c>
      <c r="H89" s="10">
        <f t="shared" si="15"/>
        <v>20.348703529281401</v>
      </c>
      <c r="I89" s="10">
        <f t="shared" si="16"/>
        <v>6.0070186766579873E-8</v>
      </c>
      <c r="J89" s="10">
        <f t="shared" si="17"/>
        <v>6.8358824175162066E-8</v>
      </c>
      <c r="K89" s="2"/>
      <c r="L89" s="6">
        <f t="shared" si="18"/>
        <v>222.335802</v>
      </c>
      <c r="M89" s="6">
        <f t="shared" si="19"/>
        <v>230.95678505734389</v>
      </c>
      <c r="N89" s="6">
        <f t="shared" si="20"/>
        <v>230.37372838966149</v>
      </c>
      <c r="O89" s="6">
        <f t="shared" si="21"/>
        <v>228.52000219555103</v>
      </c>
      <c r="P89" s="2"/>
    </row>
    <row r="90" spans="1:16" x14ac:dyDescent="0.25">
      <c r="A90">
        <v>317653</v>
      </c>
      <c r="B90" s="11">
        <v>5.8543600000000003E-8</v>
      </c>
      <c r="C90" s="11">
        <v>2.8643899999999999E-9</v>
      </c>
      <c r="D90" s="11">
        <f t="shared" si="22"/>
        <v>0.97030866790422887</v>
      </c>
      <c r="E90" s="11">
        <f t="shared" si="14"/>
        <v>0.85265689697770708</v>
      </c>
      <c r="F90" s="12">
        <f t="shared" si="12"/>
        <v>5.2942166666666663</v>
      </c>
      <c r="G90" s="10">
        <f t="shared" si="13"/>
        <v>5.8543600000000003E-8</v>
      </c>
      <c r="H90" s="10">
        <f t="shared" si="15"/>
        <v>20.438417952862565</v>
      </c>
      <c r="I90" s="10">
        <f t="shared" si="16"/>
        <v>6.0335027333568413E-8</v>
      </c>
      <c r="J90" s="10">
        <f t="shared" si="17"/>
        <v>6.8660208118307918E-8</v>
      </c>
      <c r="K90" s="2"/>
      <c r="L90" s="6">
        <f t="shared" si="18"/>
        <v>221.50124400000001</v>
      </c>
      <c r="M90" s="6">
        <f t="shared" si="19"/>
        <v>231.97504376499009</v>
      </c>
      <c r="N90" s="6">
        <f t="shared" si="20"/>
        <v>231.4066066009168</v>
      </c>
      <c r="O90" s="6">
        <f t="shared" si="21"/>
        <v>229.54470760224692</v>
      </c>
      <c r="P90" s="2"/>
    </row>
    <row r="91" spans="1:16" x14ac:dyDescent="0.25">
      <c r="A91">
        <v>321365</v>
      </c>
      <c r="B91" s="11">
        <v>5.8423400000000002E-8</v>
      </c>
      <c r="C91" s="11">
        <v>2.90519E-9</v>
      </c>
      <c r="D91" s="11">
        <f t="shared" si="22"/>
        <v>0.98412961883985306</v>
      </c>
      <c r="E91" s="11">
        <f t="shared" si="14"/>
        <v>0.86480203133325584</v>
      </c>
      <c r="F91" s="12">
        <f t="shared" si="12"/>
        <v>5.3560833333333333</v>
      </c>
      <c r="G91" s="10">
        <f t="shared" si="13"/>
        <v>5.8423400000000002E-8</v>
      </c>
      <c r="H91" s="10">
        <f t="shared" si="15"/>
        <v>20.110010016556576</v>
      </c>
      <c r="I91" s="10">
        <f t="shared" si="16"/>
        <v>5.936555396927568E-8</v>
      </c>
      <c r="J91" s="10">
        <f t="shared" si="17"/>
        <v>6.7556964349319672E-8</v>
      </c>
      <c r="K91" s="2"/>
      <c r="L91" s="6">
        <f t="shared" si="18"/>
        <v>221.04568600000002</v>
      </c>
      <c r="M91" s="6">
        <f t="shared" si="19"/>
        <v>228.24761368791712</v>
      </c>
      <c r="N91" s="6">
        <f t="shared" si="20"/>
        <v>227.62566048017516</v>
      </c>
      <c r="O91" s="6">
        <f t="shared" si="21"/>
        <v>225.79367878768687</v>
      </c>
      <c r="P91" s="2"/>
    </row>
    <row r="92" spans="1:16" x14ac:dyDescent="0.25">
      <c r="A92">
        <v>325077</v>
      </c>
      <c r="B92" s="11">
        <v>5.8242900000000002E-8</v>
      </c>
      <c r="C92" s="11">
        <v>2.8661500000000001E-9</v>
      </c>
      <c r="D92" s="11">
        <f t="shared" si="22"/>
        <v>0.9709048657877265</v>
      </c>
      <c r="E92" s="11">
        <f t="shared" si="14"/>
        <v>0.85318080473422098</v>
      </c>
      <c r="F92" s="12">
        <f t="shared" si="12"/>
        <v>5.4179500000000003</v>
      </c>
      <c r="G92" s="10">
        <f t="shared" si="13"/>
        <v>5.8242900000000002E-8</v>
      </c>
      <c r="H92" s="10">
        <f t="shared" si="15"/>
        <v>20.320953195052596</v>
      </c>
      <c r="I92" s="10">
        <f t="shared" si="16"/>
        <v>5.9988266669923063E-8</v>
      </c>
      <c r="J92" s="10">
        <f t="shared" si="17"/>
        <v>6.826560053486384E-8</v>
      </c>
      <c r="K92" s="2"/>
      <c r="L92" s="6">
        <f t="shared" si="18"/>
        <v>220.361591</v>
      </c>
      <c r="M92" s="6">
        <f t="shared" si="19"/>
        <v>230.64181876384694</v>
      </c>
      <c r="N92" s="6">
        <f t="shared" si="20"/>
        <v>230.05424001269995</v>
      </c>
      <c r="O92" s="6">
        <f t="shared" si="21"/>
        <v>228.20304181853706</v>
      </c>
      <c r="P92" s="2"/>
    </row>
    <row r="93" spans="1:16" x14ac:dyDescent="0.25">
      <c r="A93">
        <v>328789</v>
      </c>
      <c r="B93" s="11">
        <v>5.8132000000000001E-8</v>
      </c>
      <c r="C93" s="11">
        <v>2.8795800000000001E-9</v>
      </c>
      <c r="D93" s="11">
        <f t="shared" si="22"/>
        <v>0.97545426213736941</v>
      </c>
      <c r="E93" s="11">
        <f t="shared" si="14"/>
        <v>0.85717857812625575</v>
      </c>
      <c r="F93" s="12">
        <f t="shared" si="12"/>
        <v>5.4798166666666663</v>
      </c>
      <c r="G93" s="10">
        <f t="shared" si="13"/>
        <v>5.8132000000000001E-8</v>
      </c>
      <c r="H93" s="10">
        <f t="shared" si="15"/>
        <v>20.187666256884683</v>
      </c>
      <c r="I93" s="10">
        <f t="shared" si="16"/>
        <v>5.9594798296973868E-8</v>
      </c>
      <c r="J93" s="10">
        <f t="shared" si="17"/>
        <v>6.7817840393390709E-8</v>
      </c>
      <c r="K93" s="2"/>
      <c r="L93" s="6">
        <f t="shared" si="18"/>
        <v>219.94128000000001</v>
      </c>
      <c r="M93" s="6">
        <f t="shared" si="19"/>
        <v>229.12901201564114</v>
      </c>
      <c r="N93" s="6">
        <f t="shared" si="20"/>
        <v>228.51971335819809</v>
      </c>
      <c r="O93" s="6">
        <f t="shared" si="21"/>
        <v>226.6806573375284</v>
      </c>
      <c r="P93" s="2"/>
    </row>
    <row r="94" spans="1:16" x14ac:dyDescent="0.25">
      <c r="A94">
        <v>332501</v>
      </c>
      <c r="B94" s="11">
        <v>5.7897400000000001E-8</v>
      </c>
      <c r="C94" s="11">
        <v>2.8787399999999999E-9</v>
      </c>
      <c r="D94" s="11">
        <f t="shared" si="22"/>
        <v>0.97516971314751832</v>
      </c>
      <c r="E94" s="11">
        <f t="shared" si="14"/>
        <v>0.85692853124246504</v>
      </c>
      <c r="F94" s="12">
        <f t="shared" si="12"/>
        <v>5.5416833333333333</v>
      </c>
      <c r="G94" s="10">
        <f t="shared" si="13"/>
        <v>5.7897400000000001E-8</v>
      </c>
      <c r="H94" s="10">
        <f t="shared" si="15"/>
        <v>20.112062916414821</v>
      </c>
      <c r="I94" s="10">
        <f t="shared" si="16"/>
        <v>5.9371614211773205E-8</v>
      </c>
      <c r="J94" s="10">
        <f t="shared" si="17"/>
        <v>6.7563860799516467E-8</v>
      </c>
      <c r="K94" s="2"/>
      <c r="L94" s="6">
        <f t="shared" si="18"/>
        <v>219.05214600000002</v>
      </c>
      <c r="M94" s="6">
        <f t="shared" si="19"/>
        <v>228.27091410130822</v>
      </c>
      <c r="N94" s="6">
        <f t="shared" si="20"/>
        <v>227.64929542591548</v>
      </c>
      <c r="O94" s="6">
        <f t="shared" si="21"/>
        <v>225.81712671835598</v>
      </c>
      <c r="P94" s="2"/>
    </row>
    <row r="95" spans="1:16" x14ac:dyDescent="0.25">
      <c r="A95">
        <v>336213</v>
      </c>
      <c r="B95" s="11">
        <v>5.7862300000000002E-8</v>
      </c>
      <c r="C95" s="11">
        <v>2.86701E-9</v>
      </c>
      <c r="D95" s="11">
        <f t="shared" si="22"/>
        <v>0.9711961897535264</v>
      </c>
      <c r="E95" s="11">
        <f t="shared" si="14"/>
        <v>0.85343680511524478</v>
      </c>
      <c r="F95" s="12">
        <f t="shared" si="12"/>
        <v>5.6035500000000003</v>
      </c>
      <c r="G95" s="10">
        <f t="shared" si="13"/>
        <v>5.7862300000000002E-8</v>
      </c>
      <c r="H95" s="10">
        <f t="shared" si="15"/>
        <v>20.182106096595408</v>
      </c>
      <c r="I95" s="10">
        <f t="shared" si="16"/>
        <v>5.9578384481393509E-8</v>
      </c>
      <c r="J95" s="10">
        <f t="shared" si="17"/>
        <v>6.7799161757719714E-8</v>
      </c>
      <c r="K95" s="2"/>
      <c r="L95" s="6">
        <f t="shared" si="18"/>
        <v>218.91911700000003</v>
      </c>
      <c r="M95" s="6">
        <f t="shared" si="19"/>
        <v>229.06590419635788</v>
      </c>
      <c r="N95" s="6">
        <f t="shared" si="20"/>
        <v>228.45569947743468</v>
      </c>
      <c r="O95" s="6">
        <f t="shared" si="21"/>
        <v>226.61714997624702</v>
      </c>
      <c r="P95" s="2"/>
    </row>
    <row r="96" spans="1:16" x14ac:dyDescent="0.25">
      <c r="A96">
        <v>339925</v>
      </c>
      <c r="B96" s="11">
        <v>5.7692099999999997E-8</v>
      </c>
      <c r="C96" s="11">
        <v>2.88502E-9</v>
      </c>
      <c r="D96" s="11">
        <f t="shared" si="22"/>
        <v>0.97729705559545266</v>
      </c>
      <c r="E96" s="11">
        <f t="shared" si="14"/>
        <v>0.85879792937366228</v>
      </c>
      <c r="F96" s="12">
        <f t="shared" si="12"/>
        <v>5.6654166666666663</v>
      </c>
      <c r="G96" s="10">
        <f t="shared" si="13"/>
        <v>5.7692099999999997E-8</v>
      </c>
      <c r="H96" s="10">
        <f t="shared" si="15"/>
        <v>19.997123070204019</v>
      </c>
      <c r="I96" s="10">
        <f t="shared" si="16"/>
        <v>5.9032307188165071E-8</v>
      </c>
      <c r="J96" s="10">
        <f t="shared" si="17"/>
        <v>6.7177735328351276E-8</v>
      </c>
      <c r="K96" s="2"/>
      <c r="L96" s="6">
        <f t="shared" si="18"/>
        <v>218.27405899999999</v>
      </c>
      <c r="M96" s="6">
        <f t="shared" si="19"/>
        <v>226.96634684681561</v>
      </c>
      <c r="N96" s="6">
        <f t="shared" si="20"/>
        <v>226.32599803384377</v>
      </c>
      <c r="O96" s="6">
        <f t="shared" si="21"/>
        <v>224.50430011639432</v>
      </c>
      <c r="P96" s="2"/>
    </row>
    <row r="97" spans="1:16" x14ac:dyDescent="0.25">
      <c r="A97">
        <v>343637</v>
      </c>
      <c r="B97" s="11">
        <v>5.7582699999999997E-8</v>
      </c>
      <c r="C97" s="11">
        <v>2.8726299999999998E-9</v>
      </c>
      <c r="D97" s="11">
        <f t="shared" si="22"/>
        <v>0.97309995799514903</v>
      </c>
      <c r="E97" s="11">
        <f t="shared" si="14"/>
        <v>0.85510973783774924</v>
      </c>
      <c r="F97" s="12">
        <f t="shared" si="12"/>
        <v>5.7272833333333333</v>
      </c>
      <c r="G97" s="10">
        <f t="shared" si="13"/>
        <v>5.7582699999999997E-8</v>
      </c>
      <c r="H97" s="10">
        <f t="shared" si="15"/>
        <v>20.045289508220691</v>
      </c>
      <c r="I97" s="10">
        <f t="shared" si="16"/>
        <v>5.9174496439847808E-8</v>
      </c>
      <c r="J97" s="10">
        <f t="shared" si="17"/>
        <v>6.7339544215231343E-8</v>
      </c>
      <c r="K97" s="2"/>
      <c r="L97" s="6">
        <f t="shared" si="18"/>
        <v>217.859433</v>
      </c>
      <c r="M97" s="6">
        <f t="shared" si="19"/>
        <v>227.51303591830484</v>
      </c>
      <c r="N97" s="6">
        <f t="shared" si="20"/>
        <v>226.88053611540644</v>
      </c>
      <c r="O97" s="6">
        <f t="shared" si="21"/>
        <v>225.05445033178657</v>
      </c>
      <c r="P97" s="2"/>
    </row>
    <row r="98" spans="1:16" x14ac:dyDescent="0.25">
      <c r="A98">
        <v>347349</v>
      </c>
      <c r="B98" s="11">
        <v>5.7517099999999997E-8</v>
      </c>
      <c r="C98" s="11">
        <v>2.8785799999999998E-9</v>
      </c>
      <c r="D98" s="11">
        <f t="shared" si="22"/>
        <v>0.97511551333992752</v>
      </c>
      <c r="E98" s="11">
        <f t="shared" si="14"/>
        <v>0.85688090326460009</v>
      </c>
      <c r="F98" s="12">
        <f t="shared" si="12"/>
        <v>5.7891500000000002</v>
      </c>
      <c r="G98" s="10">
        <f t="shared" si="13"/>
        <v>5.7517099999999997E-8</v>
      </c>
      <c r="H98" s="10">
        <f t="shared" si="15"/>
        <v>19.98106705389463</v>
      </c>
      <c r="I98" s="10">
        <f t="shared" si="16"/>
        <v>5.8984909185779104E-8</v>
      </c>
      <c r="J98" s="10">
        <f t="shared" si="17"/>
        <v>6.7123797228842009E-8</v>
      </c>
      <c r="K98" s="2"/>
      <c r="L98" s="6">
        <f t="shared" si="18"/>
        <v>217.61080899999999</v>
      </c>
      <c r="M98" s="6">
        <f t="shared" si="19"/>
        <v>226.78411106170404</v>
      </c>
      <c r="N98" s="6">
        <f t="shared" si="20"/>
        <v>226.14114582453851</v>
      </c>
      <c r="O98" s="6">
        <f t="shared" si="21"/>
        <v>224.32091057806284</v>
      </c>
      <c r="P98" s="2"/>
    </row>
    <row r="99" spans="1:16" x14ac:dyDescent="0.25">
      <c r="A99">
        <v>351061</v>
      </c>
      <c r="B99" s="11">
        <v>5.7313099999999997E-8</v>
      </c>
      <c r="C99" s="11">
        <v>2.8776199999999998E-9</v>
      </c>
      <c r="D99" s="11">
        <f t="shared" si="22"/>
        <v>0.97479031449438347</v>
      </c>
      <c r="E99" s="11">
        <f t="shared" si="14"/>
        <v>0.85659513539741072</v>
      </c>
      <c r="F99" s="12">
        <f t="shared" si="12"/>
        <v>5.8510166666666663</v>
      </c>
      <c r="G99" s="10">
        <f t="shared" si="13"/>
        <v>5.7313099999999997E-8</v>
      </c>
      <c r="H99" s="10">
        <f t="shared" si="15"/>
        <v>19.916841000549066</v>
      </c>
      <c r="I99" s="10">
        <f t="shared" si="16"/>
        <v>5.8795311307260865E-8</v>
      </c>
      <c r="J99" s="10">
        <f t="shared" si="17"/>
        <v>6.6908038152014513E-8</v>
      </c>
      <c r="K99" s="2"/>
      <c r="L99" s="6">
        <f t="shared" si="18"/>
        <v>216.837649</v>
      </c>
      <c r="M99" s="6">
        <f t="shared" si="19"/>
        <v>226.05514535623189</v>
      </c>
      <c r="N99" s="6">
        <f t="shared" si="20"/>
        <v>225.40171409831737</v>
      </c>
      <c r="O99" s="6">
        <f t="shared" si="21"/>
        <v>223.58732971684933</v>
      </c>
      <c r="P99" s="2"/>
    </row>
    <row r="100" spans="1:16" x14ac:dyDescent="0.25">
      <c r="A100">
        <v>354773</v>
      </c>
      <c r="B100" s="11">
        <v>5.7281199999999999E-8</v>
      </c>
      <c r="C100" s="11">
        <v>2.8881799999999998E-9</v>
      </c>
      <c r="D100" s="11">
        <f t="shared" si="22"/>
        <v>0.97836750179536858</v>
      </c>
      <c r="E100" s="11">
        <f t="shared" si="14"/>
        <v>0.859738581936494</v>
      </c>
      <c r="F100" s="12">
        <f t="shared" si="12"/>
        <v>5.9128833333333333</v>
      </c>
      <c r="G100" s="10">
        <f t="shared" si="13"/>
        <v>5.7281199999999999E-8</v>
      </c>
      <c r="H100" s="10">
        <f t="shared" si="15"/>
        <v>19.83297439910255</v>
      </c>
      <c r="I100" s="10">
        <f t="shared" si="16"/>
        <v>5.8547733745126691E-8</v>
      </c>
      <c r="J100" s="10">
        <f t="shared" si="17"/>
        <v>6.6626299207113138E-8</v>
      </c>
      <c r="K100" s="2"/>
      <c r="L100" s="6">
        <f t="shared" si="18"/>
        <v>216.716748</v>
      </c>
      <c r="M100" s="6">
        <f t="shared" si="19"/>
        <v>225.10325942981393</v>
      </c>
      <c r="N100" s="6">
        <f t="shared" si="20"/>
        <v>224.4361616059941</v>
      </c>
      <c r="O100" s="6">
        <f t="shared" si="21"/>
        <v>222.62941730418467</v>
      </c>
      <c r="P100" s="2"/>
    </row>
    <row r="101" spans="1:16" x14ac:dyDescent="0.25">
      <c r="A101">
        <v>358485</v>
      </c>
      <c r="B101" s="11">
        <v>5.7241399999999998E-8</v>
      </c>
      <c r="C101" s="11">
        <v>2.85618E-9</v>
      </c>
      <c r="D101" s="11">
        <f t="shared" si="22"/>
        <v>0.96752754027723198</v>
      </c>
      <c r="E101" s="11">
        <f t="shared" si="14"/>
        <v>0.8502129863635145</v>
      </c>
      <c r="F101" s="12">
        <f t="shared" si="12"/>
        <v>5.9747500000000002</v>
      </c>
      <c r="G101" s="10">
        <f t="shared" si="13"/>
        <v>5.7241399999999998E-8</v>
      </c>
      <c r="H101" s="10">
        <f t="shared" si="15"/>
        <v>20.041243899194029</v>
      </c>
      <c r="I101" s="10">
        <f t="shared" si="16"/>
        <v>5.916255364017674E-8</v>
      </c>
      <c r="J101" s="10">
        <f t="shared" si="17"/>
        <v>6.7325953517635445E-8</v>
      </c>
      <c r="K101" s="2"/>
      <c r="L101" s="6">
        <f t="shared" si="18"/>
        <v>216.56590600000001</v>
      </c>
      <c r="M101" s="6">
        <f t="shared" si="19"/>
        <v>227.46711825585223</v>
      </c>
      <c r="N101" s="6">
        <f t="shared" si="20"/>
        <v>226.83395919668928</v>
      </c>
      <c r="O101" s="6">
        <f t="shared" si="21"/>
        <v>225.00824195996051</v>
      </c>
      <c r="P101" s="2"/>
    </row>
    <row r="102" spans="1:16" x14ac:dyDescent="0.25">
      <c r="A102">
        <v>362197</v>
      </c>
      <c r="B102" s="11">
        <v>5.7088799999999998E-8</v>
      </c>
      <c r="C102" s="11">
        <v>2.8869300000000001E-9</v>
      </c>
      <c r="D102" s="11">
        <f t="shared" si="22"/>
        <v>0.97794406579856641</v>
      </c>
      <c r="E102" s="11">
        <f t="shared" si="14"/>
        <v>0.85936648835942453</v>
      </c>
      <c r="F102" s="12">
        <f t="shared" si="12"/>
        <v>6.0366166666666663</v>
      </c>
      <c r="G102" s="10">
        <f t="shared" si="13"/>
        <v>5.7088799999999998E-8</v>
      </c>
      <c r="H102" s="10">
        <f t="shared" si="15"/>
        <v>19.774916606914612</v>
      </c>
      <c r="I102" s="10">
        <f t="shared" si="16"/>
        <v>5.8376344820276212E-8</v>
      </c>
      <c r="J102" s="10">
        <f t="shared" si="17"/>
        <v>6.6431261601770734E-8</v>
      </c>
      <c r="K102" s="2"/>
      <c r="L102" s="6">
        <f t="shared" si="18"/>
        <v>215.98755199999999</v>
      </c>
      <c r="M102" s="6">
        <f t="shared" si="19"/>
        <v>224.44430348848084</v>
      </c>
      <c r="N102" s="6">
        <f t="shared" si="20"/>
        <v>223.76774479907724</v>
      </c>
      <c r="O102" s="6">
        <f t="shared" si="21"/>
        <v>221.96628944602048</v>
      </c>
      <c r="P102" s="2"/>
    </row>
    <row r="103" spans="1:16" x14ac:dyDescent="0.25">
      <c r="A103">
        <v>365909</v>
      </c>
      <c r="B103" s="11">
        <v>5.7003700000000002E-8</v>
      </c>
      <c r="C103" s="11">
        <v>2.8599799999999999E-9</v>
      </c>
      <c r="D103" s="11">
        <f t="shared" si="22"/>
        <v>0.96881478570751067</v>
      </c>
      <c r="E103" s="11">
        <f t="shared" si="14"/>
        <v>0.85134415083780579</v>
      </c>
      <c r="F103" s="12">
        <f t="shared" si="12"/>
        <v>6.0984833333333333</v>
      </c>
      <c r="G103" s="10">
        <f t="shared" si="13"/>
        <v>5.7003700000000002E-8</v>
      </c>
      <c r="H103" s="10">
        <f t="shared" si="15"/>
        <v>19.931503017503619</v>
      </c>
      <c r="I103" s="10">
        <f t="shared" si="16"/>
        <v>5.8838594167791388E-8</v>
      </c>
      <c r="J103" s="10">
        <f t="shared" si="17"/>
        <v>6.6957293291911138E-8</v>
      </c>
      <c r="K103" s="2"/>
      <c r="L103" s="6">
        <f t="shared" si="18"/>
        <v>215.66502300000002</v>
      </c>
      <c r="M103" s="6">
        <f t="shared" si="19"/>
        <v>226.22155924866607</v>
      </c>
      <c r="N103" s="6">
        <f t="shared" si="20"/>
        <v>225.5705172543864</v>
      </c>
      <c r="O103" s="6">
        <f t="shared" si="21"/>
        <v>223.75479719249788</v>
      </c>
      <c r="P103" s="2"/>
    </row>
    <row r="104" spans="1:16" x14ac:dyDescent="0.25">
      <c r="A104">
        <v>369621</v>
      </c>
      <c r="B104" s="11">
        <v>5.6888800000000003E-8</v>
      </c>
      <c r="C104" s="11">
        <v>2.8506799999999999E-9</v>
      </c>
      <c r="D104" s="11">
        <f t="shared" si="22"/>
        <v>0.96566442189130219</v>
      </c>
      <c r="E104" s="11">
        <f t="shared" si="14"/>
        <v>0.8485757746244087</v>
      </c>
      <c r="F104" s="12">
        <f t="shared" si="12"/>
        <v>6.1603500000000002</v>
      </c>
      <c r="G104" s="10">
        <f t="shared" si="13"/>
        <v>5.6888800000000003E-8</v>
      </c>
      <c r="H104" s="10">
        <f t="shared" si="15"/>
        <v>19.956220971838299</v>
      </c>
      <c r="I104" s="10">
        <f t="shared" si="16"/>
        <v>5.8911562557705542E-8</v>
      </c>
      <c r="J104" s="10">
        <f t="shared" si="17"/>
        <v>6.7040330046164437E-8</v>
      </c>
      <c r="K104" s="2"/>
      <c r="L104" s="6">
        <f t="shared" si="18"/>
        <v>215.22955200000001</v>
      </c>
      <c r="M104" s="6">
        <f t="shared" si="19"/>
        <v>226.50210803036467</v>
      </c>
      <c r="N104" s="6">
        <f t="shared" si="20"/>
        <v>225.8550939750516</v>
      </c>
      <c r="O104" s="6">
        <f t="shared" si="21"/>
        <v>224.03712215695907</v>
      </c>
      <c r="P104" s="2"/>
    </row>
    <row r="105" spans="1:16" x14ac:dyDescent="0.25">
      <c r="A105">
        <v>373333</v>
      </c>
      <c r="B105" s="11">
        <v>5.6829499999999999E-8</v>
      </c>
      <c r="C105" s="11">
        <v>2.8709600000000002E-9</v>
      </c>
      <c r="D105" s="11">
        <f t="shared" si="22"/>
        <v>0.97253424750342143</v>
      </c>
      <c r="E105" s="11">
        <f t="shared" si="14"/>
        <v>0.85461262081878453</v>
      </c>
      <c r="F105" s="12">
        <f t="shared" si="12"/>
        <v>6.2222166666666663</v>
      </c>
      <c r="G105" s="10">
        <f t="shared" si="13"/>
        <v>5.6829499999999999E-8</v>
      </c>
      <c r="H105" s="10">
        <f t="shared" si="15"/>
        <v>19.794598322512329</v>
      </c>
      <c r="I105" s="10">
        <f t="shared" si="16"/>
        <v>5.8434446031989293E-8</v>
      </c>
      <c r="J105" s="10">
        <f t="shared" si="17"/>
        <v>6.649737976669824E-8</v>
      </c>
      <c r="K105" s="2"/>
      <c r="L105" s="6">
        <f t="shared" si="18"/>
        <v>215.004805</v>
      </c>
      <c r="M105" s="6">
        <f t="shared" si="19"/>
        <v>224.6676909605149</v>
      </c>
      <c r="N105" s="6">
        <f t="shared" si="20"/>
        <v>223.99433952475823</v>
      </c>
      <c r="O105" s="6">
        <f t="shared" si="21"/>
        <v>222.19109120677402</v>
      </c>
      <c r="P105" s="2"/>
    </row>
    <row r="106" spans="1:16" x14ac:dyDescent="0.25">
      <c r="A106">
        <v>377045</v>
      </c>
      <c r="B106" s="11">
        <v>5.6668600000000001E-8</v>
      </c>
      <c r="C106" s="11">
        <v>2.85348E-9</v>
      </c>
      <c r="D106" s="11">
        <f t="shared" si="22"/>
        <v>0.96661291852413922</v>
      </c>
      <c r="E106" s="11">
        <f t="shared" si="14"/>
        <v>0.84940926423704444</v>
      </c>
      <c r="F106" s="12">
        <f t="shared" si="12"/>
        <v>6.2840833333333332</v>
      </c>
      <c r="G106" s="10">
        <f t="shared" si="13"/>
        <v>5.6668600000000001E-8</v>
      </c>
      <c r="H106" s="10">
        <f t="shared" si="15"/>
        <v>19.859469840335311</v>
      </c>
      <c r="I106" s="10">
        <f t="shared" si="16"/>
        <v>5.8625949347463449E-8</v>
      </c>
      <c r="J106" s="10">
        <f t="shared" si="17"/>
        <v>6.6715307197527237E-8</v>
      </c>
      <c r="K106" s="2"/>
      <c r="L106" s="6">
        <f t="shared" si="18"/>
        <v>214.39499400000003</v>
      </c>
      <c r="M106" s="6">
        <f t="shared" si="19"/>
        <v>225.40398268780578</v>
      </c>
      <c r="N106" s="6">
        <f t="shared" si="20"/>
        <v>224.74120245510744</v>
      </c>
      <c r="O106" s="6">
        <f t="shared" si="21"/>
        <v>222.9320444715926</v>
      </c>
      <c r="P106" s="2"/>
    </row>
    <row r="107" spans="1:16" x14ac:dyDescent="0.25">
      <c r="A107">
        <v>380757</v>
      </c>
      <c r="B107" s="11">
        <v>5.6628000000000003E-8</v>
      </c>
      <c r="C107" s="11">
        <v>2.8752700000000001E-9</v>
      </c>
      <c r="D107" s="11">
        <f t="shared" si="22"/>
        <v>0.97399425482039537</v>
      </c>
      <c r="E107" s="11">
        <f t="shared" si="14"/>
        <v>0.85589559947252014</v>
      </c>
      <c r="F107" s="12">
        <f t="shared" si="12"/>
        <v>6.3459500000000002</v>
      </c>
      <c r="G107" s="10">
        <f t="shared" si="13"/>
        <v>5.6628000000000003E-8</v>
      </c>
      <c r="H107" s="10">
        <f t="shared" si="15"/>
        <v>19.694846049240592</v>
      </c>
      <c r="I107" s="10">
        <f t="shared" si="16"/>
        <v>5.8139973331200203E-8</v>
      </c>
      <c r="J107" s="10">
        <f t="shared" si="17"/>
        <v>6.6162274972437375E-8</v>
      </c>
      <c r="K107" s="2"/>
      <c r="L107" s="6">
        <f t="shared" si="18"/>
        <v>214.24112000000002</v>
      </c>
      <c r="M107" s="6">
        <f t="shared" si="19"/>
        <v>223.53550265888072</v>
      </c>
      <c r="N107" s="6">
        <f t="shared" si="20"/>
        <v>222.84589599168078</v>
      </c>
      <c r="O107" s="6">
        <f t="shared" si="21"/>
        <v>221.05173490628707</v>
      </c>
      <c r="P107" s="2"/>
    </row>
    <row r="108" spans="1:16" x14ac:dyDescent="0.25">
      <c r="A108">
        <v>384469</v>
      </c>
      <c r="B108" s="11">
        <v>5.6538799999999997E-8</v>
      </c>
      <c r="C108" s="11">
        <v>2.86038E-9</v>
      </c>
      <c r="D108" s="11">
        <f t="shared" si="22"/>
        <v>0.96895028522648741</v>
      </c>
      <c r="E108" s="11">
        <f t="shared" si="14"/>
        <v>0.85146322078246806</v>
      </c>
      <c r="F108" s="12">
        <f t="shared" si="12"/>
        <v>6.4078166666666663</v>
      </c>
      <c r="G108" s="10">
        <f t="shared" si="13"/>
        <v>5.6538799999999997E-8</v>
      </c>
      <c r="H108" s="10">
        <f t="shared" si="15"/>
        <v>19.766184912494143</v>
      </c>
      <c r="I108" s="10">
        <f t="shared" si="16"/>
        <v>5.8350568509079214E-8</v>
      </c>
      <c r="J108" s="10">
        <f t="shared" si="17"/>
        <v>6.640192860948546E-8</v>
      </c>
      <c r="K108" s="2"/>
      <c r="L108" s="6">
        <f t="shared" si="18"/>
        <v>213.903052</v>
      </c>
      <c r="M108" s="6">
        <f t="shared" si="19"/>
        <v>224.34519875680851</v>
      </c>
      <c r="N108" s="6">
        <f t="shared" si="20"/>
        <v>223.66721718540893</v>
      </c>
      <c r="O108" s="6">
        <f t="shared" si="21"/>
        <v>221.86655727225056</v>
      </c>
      <c r="P108" s="2"/>
    </row>
    <row r="109" spans="1:16" x14ac:dyDescent="0.25">
      <c r="A109">
        <v>388181</v>
      </c>
      <c r="B109" s="11">
        <v>5.6456900000000002E-8</v>
      </c>
      <c r="C109" s="11">
        <v>2.8942100000000001E-9</v>
      </c>
      <c r="D109" s="11">
        <f t="shared" si="22"/>
        <v>0.98041015704394252</v>
      </c>
      <c r="E109" s="11">
        <f t="shared" si="14"/>
        <v>0.86153356135227732</v>
      </c>
      <c r="F109" s="12">
        <f t="shared" si="12"/>
        <v>6.4696833333333332</v>
      </c>
      <c r="G109" s="10">
        <f t="shared" si="13"/>
        <v>5.6456900000000002E-8</v>
      </c>
      <c r="H109" s="10">
        <f t="shared" si="15"/>
        <v>19.506842972693757</v>
      </c>
      <c r="I109" s="10">
        <f t="shared" si="16"/>
        <v>5.7584980729110883E-8</v>
      </c>
      <c r="J109" s="10">
        <f t="shared" si="17"/>
        <v>6.5530703077178228E-8</v>
      </c>
      <c r="K109" s="2"/>
      <c r="L109" s="6">
        <f t="shared" si="18"/>
        <v>213.59265100000002</v>
      </c>
      <c r="M109" s="6">
        <f t="shared" si="19"/>
        <v>221.40166774007415</v>
      </c>
      <c r="N109" s="6">
        <f t="shared" si="20"/>
        <v>220.68142484353243</v>
      </c>
      <c r="O109" s="6">
        <f t="shared" si="21"/>
        <v>218.90439046240598</v>
      </c>
      <c r="P109" s="2"/>
    </row>
    <row r="110" spans="1:16" x14ac:dyDescent="0.25">
      <c r="A110">
        <v>391893</v>
      </c>
      <c r="B110" s="11">
        <v>5.6317699999999999E-8</v>
      </c>
      <c r="C110" s="11">
        <v>2.8633599999999999E-9</v>
      </c>
      <c r="D110" s="11">
        <f t="shared" si="22"/>
        <v>0.96995975664286382</v>
      </c>
      <c r="E110" s="11">
        <f t="shared" si="14"/>
        <v>0.85235029187020184</v>
      </c>
      <c r="F110" s="12">
        <f t="shared" si="12"/>
        <v>6.5315500000000002</v>
      </c>
      <c r="G110" s="10">
        <f t="shared" si="13"/>
        <v>5.6317699999999999E-8</v>
      </c>
      <c r="H110" s="10">
        <f t="shared" si="15"/>
        <v>19.668396569065713</v>
      </c>
      <c r="I110" s="10">
        <f t="shared" si="16"/>
        <v>5.806189340774475E-8</v>
      </c>
      <c r="J110" s="10">
        <f t="shared" si="17"/>
        <v>6.6073421382222285E-8</v>
      </c>
      <c r="K110" s="2"/>
      <c r="L110" s="6">
        <f t="shared" si="18"/>
        <v>213.06508300000002</v>
      </c>
      <c r="M110" s="6">
        <f t="shared" si="19"/>
        <v>223.23530105889583</v>
      </c>
      <c r="N110" s="6">
        <f t="shared" si="20"/>
        <v>222.54138429020452</v>
      </c>
      <c r="O110" s="6">
        <f t="shared" si="21"/>
        <v>220.74963269955578</v>
      </c>
      <c r="P110" s="2"/>
    </row>
    <row r="111" spans="1:16" x14ac:dyDescent="0.25">
      <c r="A111">
        <v>395605</v>
      </c>
      <c r="B111" s="11">
        <v>5.6224899999999997E-8</v>
      </c>
      <c r="C111" s="11">
        <v>2.8389299999999998E-9</v>
      </c>
      <c r="D111" s="11">
        <f t="shared" si="22"/>
        <v>0.96168412352136146</v>
      </c>
      <c r="E111" s="11">
        <f t="shared" si="14"/>
        <v>0.84507809499995523</v>
      </c>
      <c r="F111" s="12">
        <f t="shared" si="12"/>
        <v>6.5934166666666663</v>
      </c>
      <c r="G111" s="10">
        <f t="shared" si="13"/>
        <v>5.6224899999999997E-8</v>
      </c>
      <c r="H111" s="10">
        <f t="shared" si="15"/>
        <v>19.804961728538569</v>
      </c>
      <c r="I111" s="10">
        <f t="shared" si="16"/>
        <v>5.8465039221114996E-8</v>
      </c>
      <c r="J111" s="10">
        <f t="shared" si="17"/>
        <v>6.653219428200062E-8</v>
      </c>
      <c r="K111" s="2"/>
      <c r="L111" s="6">
        <f t="shared" si="18"/>
        <v>212.713371</v>
      </c>
      <c r="M111" s="6">
        <f t="shared" si="19"/>
        <v>224.78531561891273</v>
      </c>
      <c r="N111" s="6">
        <f t="shared" si="20"/>
        <v>224.11365296234848</v>
      </c>
      <c r="O111" s="6">
        <f t="shared" si="21"/>
        <v>222.3094605588021</v>
      </c>
      <c r="P111" s="2"/>
    </row>
    <row r="112" spans="1:16" x14ac:dyDescent="0.25">
      <c r="A112">
        <v>399317</v>
      </c>
      <c r="B112" s="11">
        <v>5.6074899999999999E-8</v>
      </c>
      <c r="C112" s="11">
        <v>2.85939E-9</v>
      </c>
      <c r="D112" s="11">
        <f t="shared" si="22"/>
        <v>0.96861492391702009</v>
      </c>
      <c r="E112" s="11">
        <f t="shared" si="14"/>
        <v>0.851168522669429</v>
      </c>
      <c r="F112" s="12">
        <f t="shared" si="12"/>
        <v>6.6552833333333332</v>
      </c>
      <c r="G112" s="10">
        <f t="shared" si="13"/>
        <v>5.6074899999999999E-8</v>
      </c>
      <c r="H112" s="10">
        <f t="shared" si="15"/>
        <v>19.610791112789791</v>
      </c>
      <c r="I112" s="10">
        <f t="shared" si="16"/>
        <v>5.7891839796599975E-8</v>
      </c>
      <c r="J112" s="10">
        <f t="shared" si="17"/>
        <v>6.5879903340572649E-8</v>
      </c>
      <c r="K112" s="2"/>
      <c r="L112" s="6">
        <f t="shared" si="18"/>
        <v>212.14487099999999</v>
      </c>
      <c r="M112" s="6">
        <f t="shared" si="19"/>
        <v>222.58147913016413</v>
      </c>
      <c r="N112" s="6">
        <f t="shared" si="20"/>
        <v>221.87817520673991</v>
      </c>
      <c r="O112" s="6">
        <f t="shared" si="21"/>
        <v>220.09167135794701</v>
      </c>
      <c r="P112" s="2"/>
    </row>
    <row r="113" spans="1:16" x14ac:dyDescent="0.25">
      <c r="A113">
        <v>403029</v>
      </c>
      <c r="B113" s="11">
        <v>5.6020899999999997E-8</v>
      </c>
      <c r="C113" s="11">
        <v>2.8546199999999998E-9</v>
      </c>
      <c r="D113" s="11">
        <f t="shared" si="22"/>
        <v>0.96699909215322277</v>
      </c>
      <c r="E113" s="11">
        <f t="shared" si="14"/>
        <v>0.84974861357933174</v>
      </c>
      <c r="F113" s="12">
        <f t="shared" si="12"/>
        <v>6.7171500000000002</v>
      </c>
      <c r="G113" s="10">
        <f t="shared" si="13"/>
        <v>5.6020899999999997E-8</v>
      </c>
      <c r="H113" s="10">
        <f t="shared" si="15"/>
        <v>19.624643560263713</v>
      </c>
      <c r="I113" s="10">
        <f t="shared" si="16"/>
        <v>5.7932732775640895E-8</v>
      </c>
      <c r="J113" s="10">
        <f t="shared" si="17"/>
        <v>6.5926438837043112E-8</v>
      </c>
      <c r="K113" s="2"/>
      <c r="L113" s="6">
        <f t="shared" si="18"/>
        <v>211.94021100000001</v>
      </c>
      <c r="M113" s="6">
        <f t="shared" si="19"/>
        <v>222.73870440899313</v>
      </c>
      <c r="N113" s="6">
        <f t="shared" si="20"/>
        <v>222.03765782499949</v>
      </c>
      <c r="O113" s="6">
        <f t="shared" si="21"/>
        <v>220.24989204594658</v>
      </c>
      <c r="P113" s="2"/>
    </row>
    <row r="114" spans="1:16" x14ac:dyDescent="0.25">
      <c r="A114">
        <v>406741</v>
      </c>
      <c r="B114" s="11">
        <v>5.5819300000000001E-8</v>
      </c>
      <c r="C114" s="11">
        <v>2.86687E-9</v>
      </c>
      <c r="D114" s="11">
        <f t="shared" si="22"/>
        <v>0.97114876492188451</v>
      </c>
      <c r="E114" s="11">
        <f t="shared" si="14"/>
        <v>0.85339513063461303</v>
      </c>
      <c r="F114" s="12">
        <f t="shared" si="12"/>
        <v>6.7790166666666662</v>
      </c>
      <c r="G114" s="10">
        <f t="shared" si="13"/>
        <v>5.5819300000000001E-8</v>
      </c>
      <c r="H114" s="10">
        <f t="shared" si="15"/>
        <v>19.470467792400772</v>
      </c>
      <c r="I114" s="10">
        <f t="shared" si="16"/>
        <v>5.7477599741878778E-8</v>
      </c>
      <c r="J114" s="10">
        <f t="shared" si="17"/>
        <v>6.5408505387757381E-8</v>
      </c>
      <c r="K114" s="2"/>
      <c r="L114" s="6">
        <f t="shared" si="18"/>
        <v>211.17614700000001</v>
      </c>
      <c r="M114" s="6">
        <f t="shared" si="19"/>
        <v>220.98880944374875</v>
      </c>
      <c r="N114" s="6">
        <f t="shared" si="20"/>
        <v>220.26263899332722</v>
      </c>
      <c r="O114" s="6">
        <f t="shared" si="21"/>
        <v>218.48891831837508</v>
      </c>
      <c r="P114" s="2"/>
    </row>
    <row r="115" spans="1:16" x14ac:dyDescent="0.25">
      <c r="A115">
        <v>410453</v>
      </c>
      <c r="B115" s="11">
        <v>5.5741299999999999E-8</v>
      </c>
      <c r="C115" s="11">
        <v>2.8675800000000001E-9</v>
      </c>
      <c r="D115" s="11">
        <f t="shared" si="22"/>
        <v>0.97138927656806817</v>
      </c>
      <c r="E115" s="11">
        <f t="shared" si="14"/>
        <v>0.85360647978638848</v>
      </c>
      <c r="F115" s="12">
        <f t="shared" si="12"/>
        <v>6.8408833333333332</v>
      </c>
      <c r="G115" s="10">
        <f t="shared" si="13"/>
        <v>5.5741299999999999E-8</v>
      </c>
      <c r="H115" s="10">
        <f t="shared" si="15"/>
        <v>19.438446355463491</v>
      </c>
      <c r="I115" s="10">
        <f t="shared" si="16"/>
        <v>5.7383071179182446E-8</v>
      </c>
      <c r="J115" s="10">
        <f t="shared" si="17"/>
        <v>6.5300933533153393E-8</v>
      </c>
      <c r="K115" s="2"/>
      <c r="L115" s="6">
        <f t="shared" si="18"/>
        <v>210.880527</v>
      </c>
      <c r="M115" s="6">
        <f t="shared" si="19"/>
        <v>220.62536613451061</v>
      </c>
      <c r="N115" s="6">
        <f t="shared" si="20"/>
        <v>219.89397759881155</v>
      </c>
      <c r="O115" s="6">
        <f t="shared" si="21"/>
        <v>218.12317401272153</v>
      </c>
      <c r="P115" s="2"/>
    </row>
    <row r="116" spans="1:16" x14ac:dyDescent="0.25">
      <c r="A116">
        <v>414165</v>
      </c>
      <c r="B116" s="11">
        <v>5.5490500000000003E-8</v>
      </c>
      <c r="C116" s="11">
        <v>2.8699199999999999E-9</v>
      </c>
      <c r="D116" s="11">
        <f t="shared" si="22"/>
        <v>0.97218194875408193</v>
      </c>
      <c r="E116" s="11">
        <f t="shared" si="14"/>
        <v>0.85430303896266258</v>
      </c>
      <c r="F116" s="12">
        <f t="shared" si="12"/>
        <v>6.9027500000000002</v>
      </c>
      <c r="G116" s="10">
        <f t="shared" si="13"/>
        <v>5.5490500000000003E-8</v>
      </c>
      <c r="H116" s="10">
        <f t="shared" si="15"/>
        <v>19.335207950047391</v>
      </c>
      <c r="I116" s="10">
        <f t="shared" si="16"/>
        <v>5.7078307276857892E-8</v>
      </c>
      <c r="J116" s="10">
        <f t="shared" si="17"/>
        <v>6.4954117531150699E-8</v>
      </c>
      <c r="K116" s="2"/>
      <c r="L116" s="6">
        <f t="shared" si="18"/>
        <v>209.92999500000002</v>
      </c>
      <c r="M116" s="6">
        <f t="shared" si="19"/>
        <v>219.45361023303786</v>
      </c>
      <c r="N116" s="6">
        <f t="shared" si="20"/>
        <v>218.70539837974579</v>
      </c>
      <c r="O116" s="6">
        <f t="shared" si="21"/>
        <v>216.94399960591238</v>
      </c>
      <c r="P116" s="2"/>
    </row>
    <row r="117" spans="1:16" x14ac:dyDescent="0.25">
      <c r="A117">
        <v>417877</v>
      </c>
      <c r="B117" s="11">
        <v>5.5334200000000002E-8</v>
      </c>
      <c r="C117" s="11">
        <v>2.8671299999999998E-9</v>
      </c>
      <c r="D117" s="11">
        <f t="shared" si="22"/>
        <v>0.97123683960921925</v>
      </c>
      <c r="E117" s="11">
        <f t="shared" si="14"/>
        <v>0.85347252609864344</v>
      </c>
      <c r="F117" s="12">
        <f t="shared" si="12"/>
        <v>6.9646166666666662</v>
      </c>
      <c r="G117" s="10">
        <f t="shared" si="13"/>
        <v>5.5334200000000002E-8</v>
      </c>
      <c r="H117" s="10">
        <f t="shared" si="15"/>
        <v>19.299508567801254</v>
      </c>
      <c r="I117" s="10">
        <f t="shared" si="16"/>
        <v>5.6972921272492016E-8</v>
      </c>
      <c r="J117" s="10">
        <f t="shared" si="17"/>
        <v>6.4834190097414491E-8</v>
      </c>
      <c r="K117" s="2"/>
      <c r="L117" s="6">
        <f t="shared" si="18"/>
        <v>209.33761800000002</v>
      </c>
      <c r="M117" s="6">
        <f t="shared" si="19"/>
        <v>219.04842224454421</v>
      </c>
      <c r="N117" s="6">
        <f t="shared" si="20"/>
        <v>218.29439296271886</v>
      </c>
      <c r="O117" s="6">
        <f t="shared" si="21"/>
        <v>216.53624633120927</v>
      </c>
      <c r="P117" s="2"/>
    </row>
    <row r="118" spans="1:16" x14ac:dyDescent="0.25">
      <c r="A118">
        <v>421589</v>
      </c>
      <c r="B118" s="11">
        <v>5.5166300000000002E-8</v>
      </c>
      <c r="C118" s="11">
        <v>2.8342E-9</v>
      </c>
      <c r="D118" s="11">
        <f t="shared" si="22"/>
        <v>0.96008184170946187</v>
      </c>
      <c r="E118" s="11">
        <f t="shared" si="14"/>
        <v>0.84367009290432426</v>
      </c>
      <c r="F118" s="12">
        <f t="shared" si="12"/>
        <v>7.0264833333333332</v>
      </c>
      <c r="G118" s="10">
        <f t="shared" si="13"/>
        <v>5.5166300000000002E-8</v>
      </c>
      <c r="H118" s="10">
        <f t="shared" si="15"/>
        <v>19.464504974948841</v>
      </c>
      <c r="I118" s="10">
        <f t="shared" si="16"/>
        <v>5.7459997266247974E-8</v>
      </c>
      <c r="J118" s="10">
        <f t="shared" si="17"/>
        <v>6.5388474077693887E-8</v>
      </c>
      <c r="K118" s="2"/>
      <c r="L118" s="6">
        <f t="shared" si="18"/>
        <v>208.701277</v>
      </c>
      <c r="M118" s="6">
        <f t="shared" si="19"/>
        <v>220.92113146566933</v>
      </c>
      <c r="N118" s="6">
        <f t="shared" si="20"/>
        <v>220.19398933836709</v>
      </c>
      <c r="O118" s="6">
        <f t="shared" si="21"/>
        <v>218.42081186415922</v>
      </c>
      <c r="P118" s="2"/>
    </row>
    <row r="119" spans="1:16" x14ac:dyDescent="0.25">
      <c r="A119">
        <v>425301</v>
      </c>
      <c r="B119" s="11">
        <v>5.4966999999999998E-8</v>
      </c>
      <c r="C119" s="11">
        <v>2.8453199999999998E-9</v>
      </c>
      <c r="D119" s="11">
        <f t="shared" si="22"/>
        <v>0.96384872833701429</v>
      </c>
      <c r="E119" s="11">
        <f t="shared" si="14"/>
        <v>0.84698023736593464</v>
      </c>
      <c r="F119" s="12">
        <f t="shared" si="12"/>
        <v>7.0883500000000002</v>
      </c>
      <c r="G119" s="10">
        <f t="shared" si="13"/>
        <v>5.4966999999999998E-8</v>
      </c>
      <c r="H119" s="10">
        <f t="shared" si="15"/>
        <v>19.318389495733346</v>
      </c>
      <c r="I119" s="10">
        <f t="shared" si="16"/>
        <v>5.7028658526984669E-8</v>
      </c>
      <c r="J119" s="10">
        <f t="shared" si="17"/>
        <v>6.489761812028173E-8</v>
      </c>
      <c r="K119" s="2"/>
      <c r="L119" s="6">
        <f t="shared" si="18"/>
        <v>207.94593</v>
      </c>
      <c r="M119" s="6">
        <f t="shared" si="19"/>
        <v>219.26272077657347</v>
      </c>
      <c r="N119" s="6">
        <f t="shared" si="20"/>
        <v>218.51176825524021</v>
      </c>
      <c r="O119" s="6">
        <f t="shared" si="21"/>
        <v>216.75190160895787</v>
      </c>
      <c r="P119" s="2"/>
    </row>
    <row r="120" spans="1:16" x14ac:dyDescent="0.25">
      <c r="A120">
        <v>429013</v>
      </c>
      <c r="B120" s="11">
        <v>5.4727200000000002E-8</v>
      </c>
      <c r="C120" s="11">
        <v>2.8712199999999999E-9</v>
      </c>
      <c r="D120" s="11">
        <f t="shared" si="22"/>
        <v>0.97262232219075617</v>
      </c>
      <c r="E120" s="11">
        <f t="shared" si="14"/>
        <v>0.85469001628281482</v>
      </c>
      <c r="F120" s="12">
        <f t="shared" si="12"/>
        <v>7.1502166666666671</v>
      </c>
      <c r="G120" s="10">
        <f t="shared" si="13"/>
        <v>5.4727200000000002E-8</v>
      </c>
      <c r="H120" s="10">
        <f t="shared" si="15"/>
        <v>19.060608382499428</v>
      </c>
      <c r="I120" s="10">
        <f t="shared" si="16"/>
        <v>5.6267678369473609E-8</v>
      </c>
      <c r="J120" s="10">
        <f t="shared" si="17"/>
        <v>6.4031635981917108E-8</v>
      </c>
      <c r="K120" s="2"/>
      <c r="L120" s="6">
        <f t="shared" si="18"/>
        <v>207.03708800000001</v>
      </c>
      <c r="M120" s="6">
        <f t="shared" si="19"/>
        <v>216.3369051413685</v>
      </c>
      <c r="N120" s="6">
        <f t="shared" si="20"/>
        <v>215.54394564094707</v>
      </c>
      <c r="O120" s="6">
        <f t="shared" si="21"/>
        <v>213.80756233851815</v>
      </c>
      <c r="P120" s="2"/>
    </row>
    <row r="121" spans="1:16" x14ac:dyDescent="0.25">
      <c r="A121">
        <v>432725</v>
      </c>
      <c r="B121" s="11">
        <v>5.4530300000000002E-8</v>
      </c>
      <c r="C121" s="11">
        <v>2.8489799999999998E-9</v>
      </c>
      <c r="D121" s="11">
        <f t="shared" si="22"/>
        <v>0.96508854893565121</v>
      </c>
      <c r="E121" s="11">
        <f t="shared" si="14"/>
        <v>0.84806972735959407</v>
      </c>
      <c r="F121" s="12">
        <f t="shared" si="12"/>
        <v>7.2120833333333332</v>
      </c>
      <c r="G121" s="10">
        <f t="shared" si="13"/>
        <v>5.4530300000000002E-8</v>
      </c>
      <c r="H121" s="10">
        <f t="shared" si="15"/>
        <v>19.140288805116221</v>
      </c>
      <c r="I121" s="10">
        <f t="shared" si="16"/>
        <v>5.6502898164255286E-8</v>
      </c>
      <c r="J121" s="10">
        <f t="shared" si="17"/>
        <v>6.4299312003243282E-8</v>
      </c>
      <c r="K121" s="2"/>
      <c r="L121" s="6">
        <f t="shared" si="18"/>
        <v>206.29083700000001</v>
      </c>
      <c r="M121" s="6">
        <f t="shared" si="19"/>
        <v>217.24127793806909</v>
      </c>
      <c r="N121" s="6">
        <f t="shared" si="20"/>
        <v>216.46130284059561</v>
      </c>
      <c r="O121" s="6">
        <f t="shared" si="21"/>
        <v>214.71766081102714</v>
      </c>
      <c r="P121" s="2"/>
    </row>
    <row r="122" spans="1:16" x14ac:dyDescent="0.25">
      <c r="A122">
        <v>436437</v>
      </c>
      <c r="B122" s="11">
        <v>5.4337300000000002E-8</v>
      </c>
      <c r="C122" s="11">
        <v>2.8337299999999999E-9</v>
      </c>
      <c r="D122" s="11">
        <f t="shared" si="22"/>
        <v>0.95992262977466425</v>
      </c>
      <c r="E122" s="11">
        <f t="shared" si="14"/>
        <v>0.84353018571934613</v>
      </c>
      <c r="F122" s="12">
        <f t="shared" si="12"/>
        <v>7.2739500000000001</v>
      </c>
      <c r="G122" s="10">
        <f t="shared" si="13"/>
        <v>5.4337300000000002E-8</v>
      </c>
      <c r="H122" s="10">
        <f t="shared" si="15"/>
        <v>19.17518606218659</v>
      </c>
      <c r="I122" s="10">
        <f t="shared" si="16"/>
        <v>5.66059162630173E-8</v>
      </c>
      <c r="J122" s="10">
        <f t="shared" si="17"/>
        <v>6.4416544801727763E-8</v>
      </c>
      <c r="K122" s="2"/>
      <c r="L122" s="6">
        <f t="shared" si="18"/>
        <v>205.55936700000001</v>
      </c>
      <c r="M122" s="6">
        <f t="shared" si="19"/>
        <v>217.63736180581779</v>
      </c>
      <c r="N122" s="6">
        <f t="shared" si="20"/>
        <v>216.86307342576745</v>
      </c>
      <c r="O122" s="6">
        <f t="shared" si="21"/>
        <v>215.1162523258744</v>
      </c>
      <c r="P122" s="2"/>
    </row>
    <row r="123" spans="1:16" x14ac:dyDescent="0.25">
      <c r="A123">
        <v>440149</v>
      </c>
      <c r="B123" s="11">
        <v>5.41914E-8</v>
      </c>
      <c r="C123" s="11">
        <v>2.8688500000000001E-9</v>
      </c>
      <c r="D123" s="11">
        <f t="shared" si="22"/>
        <v>0.97181948754081926</v>
      </c>
      <c r="E123" s="11">
        <f t="shared" si="14"/>
        <v>0.85398452686069115</v>
      </c>
      <c r="F123" s="12">
        <f t="shared" si="12"/>
        <v>7.3358166666666671</v>
      </c>
      <c r="G123" s="10">
        <f t="shared" si="13"/>
        <v>5.41914E-8</v>
      </c>
      <c r="H123" s="10">
        <f t="shared" si="15"/>
        <v>18.889589905362776</v>
      </c>
      <c r="I123" s="10">
        <f t="shared" si="16"/>
        <v>5.576282498422713E-8</v>
      </c>
      <c r="J123" s="10">
        <f t="shared" si="17"/>
        <v>6.3457121640378546E-8</v>
      </c>
      <c r="K123" s="2"/>
      <c r="L123" s="6">
        <f t="shared" si="18"/>
        <v>205.006406</v>
      </c>
      <c r="M123" s="6">
        <f t="shared" si="19"/>
        <v>214.39584542586749</v>
      </c>
      <c r="N123" s="6">
        <f t="shared" si="20"/>
        <v>213.57501743848579</v>
      </c>
      <c r="O123" s="6">
        <f t="shared" si="21"/>
        <v>211.85421357728706</v>
      </c>
      <c r="P123" s="2"/>
    </row>
    <row r="124" spans="1:16" x14ac:dyDescent="0.25">
      <c r="A124">
        <v>443861</v>
      </c>
      <c r="B124" s="11">
        <v>5.3987300000000002E-8</v>
      </c>
      <c r="C124" s="11">
        <v>2.8581200000000001E-9</v>
      </c>
      <c r="D124" s="11">
        <f t="shared" si="22"/>
        <v>0.968184712944269</v>
      </c>
      <c r="E124" s="11">
        <f t="shared" si="14"/>
        <v>0.85079047559512644</v>
      </c>
      <c r="F124" s="12">
        <f t="shared" si="12"/>
        <v>7.3976833333333332</v>
      </c>
      <c r="G124" s="10">
        <f t="shared" si="13"/>
        <v>5.3987300000000002E-8</v>
      </c>
      <c r="H124" s="10">
        <f t="shared" si="15"/>
        <v>18.8890949295341</v>
      </c>
      <c r="I124" s="10">
        <f t="shared" si="16"/>
        <v>5.5761363795781848E-8</v>
      </c>
      <c r="J124" s="10">
        <f t="shared" si="17"/>
        <v>6.3455458833428978E-8</v>
      </c>
      <c r="K124" s="2"/>
      <c r="L124" s="6">
        <f t="shared" si="18"/>
        <v>204.23286700000003</v>
      </c>
      <c r="M124" s="6">
        <f t="shared" si="19"/>
        <v>214.39022745021202</v>
      </c>
      <c r="N124" s="6">
        <f t="shared" si="20"/>
        <v>213.56931880354921</v>
      </c>
      <c r="O124" s="6">
        <f t="shared" si="21"/>
        <v>211.84856003365852</v>
      </c>
      <c r="P124" s="2"/>
    </row>
    <row r="125" spans="1:16" x14ac:dyDescent="0.25">
      <c r="A125">
        <v>446633</v>
      </c>
      <c r="B125" s="11">
        <v>5.3867899999999998E-8</v>
      </c>
      <c r="C125" s="11">
        <v>2.87614E-9</v>
      </c>
      <c r="D125" s="11">
        <f t="shared" si="22"/>
        <v>0.97428896627416972</v>
      </c>
      <c r="E125" s="11">
        <f t="shared" si="14"/>
        <v>0.85615457660216043</v>
      </c>
      <c r="F125" s="12">
        <f t="shared" si="12"/>
        <v>7.443883333333333</v>
      </c>
      <c r="G125" s="10">
        <f t="shared" si="13"/>
        <v>5.3867899999999998E-8</v>
      </c>
      <c r="H125" s="10">
        <f t="shared" si="15"/>
        <v>18.729234320999673</v>
      </c>
      <c r="I125" s="10">
        <f t="shared" si="16"/>
        <v>5.5289448884963874E-8</v>
      </c>
      <c r="J125" s="10">
        <f t="shared" si="17"/>
        <v>6.2918427900936677E-8</v>
      </c>
      <c r="K125" s="2"/>
      <c r="L125" s="6">
        <f t="shared" si="18"/>
        <v>203.78034099999999</v>
      </c>
      <c r="M125" s="6">
        <f t="shared" si="19"/>
        <v>212.57580954334628</v>
      </c>
      <c r="N125" s="6">
        <f t="shared" si="20"/>
        <v>211.7288506513591</v>
      </c>
      <c r="O125" s="6">
        <f t="shared" si="21"/>
        <v>210.0226548631847</v>
      </c>
      <c r="P125" s="2"/>
    </row>
    <row r="126" spans="1:16" x14ac:dyDescent="0.25">
      <c r="A126">
        <v>450345</v>
      </c>
      <c r="B126" s="11">
        <v>5.3555300000000002E-8</v>
      </c>
      <c r="C126" s="11">
        <v>2.8435099999999998E-9</v>
      </c>
      <c r="D126" s="11">
        <f t="shared" si="22"/>
        <v>0.9632355930136447</v>
      </c>
      <c r="E126" s="11">
        <f t="shared" si="14"/>
        <v>0.84644144586633796</v>
      </c>
      <c r="F126" s="12">
        <f t="shared" si="12"/>
        <v>7.5057499999999999</v>
      </c>
      <c r="G126" s="10">
        <f t="shared" si="13"/>
        <v>5.3555300000000002E-8</v>
      </c>
      <c r="H126" s="10">
        <f t="shared" si="15"/>
        <v>18.834222492623557</v>
      </c>
      <c r="I126" s="10">
        <f t="shared" si="16"/>
        <v>5.559937816712444E-8</v>
      </c>
      <c r="J126" s="10">
        <f t="shared" si="17"/>
        <v>6.3271122015044791E-8</v>
      </c>
      <c r="K126" s="2"/>
      <c r="L126" s="6">
        <f t="shared" si="18"/>
        <v>202.59558700000002</v>
      </c>
      <c r="M126" s="6">
        <f t="shared" si="19"/>
        <v>213.76742529127736</v>
      </c>
      <c r="N126" s="6">
        <f t="shared" si="20"/>
        <v>212.93757485178531</v>
      </c>
      <c r="O126" s="6">
        <f t="shared" si="21"/>
        <v>211.22181485115229</v>
      </c>
      <c r="P126" s="2"/>
    </row>
    <row r="127" spans="1:16" x14ac:dyDescent="0.25">
      <c r="A127">
        <v>454057</v>
      </c>
      <c r="B127" s="11">
        <v>5.3502999999999999E-8</v>
      </c>
      <c r="C127" s="11">
        <v>2.85146E-9</v>
      </c>
      <c r="D127" s="11">
        <f t="shared" si="22"/>
        <v>0.96592864595330685</v>
      </c>
      <c r="E127" s="11">
        <f t="shared" si="14"/>
        <v>0.84880796101650002</v>
      </c>
      <c r="F127" s="12">
        <f t="shared" si="12"/>
        <v>7.5676166666666669</v>
      </c>
      <c r="G127" s="10">
        <f t="shared" si="13"/>
        <v>5.3502999999999999E-8</v>
      </c>
      <c r="H127" s="10">
        <f t="shared" si="15"/>
        <v>18.763370343613445</v>
      </c>
      <c r="I127" s="10">
        <f t="shared" si="16"/>
        <v>5.5390219789160641E-8</v>
      </c>
      <c r="J127" s="10">
        <f t="shared" si="17"/>
        <v>6.3033103431224707E-8</v>
      </c>
      <c r="K127" s="2"/>
      <c r="L127" s="6">
        <f t="shared" si="18"/>
        <v>202.39737</v>
      </c>
      <c r="M127" s="6">
        <f t="shared" si="19"/>
        <v>212.9632534000126</v>
      </c>
      <c r="N127" s="6">
        <f t="shared" si="20"/>
        <v>212.1218571777265</v>
      </c>
      <c r="O127" s="6">
        <f t="shared" si="21"/>
        <v>210.41255166616401</v>
      </c>
      <c r="P127" s="2"/>
    </row>
    <row r="128" spans="1:16" x14ac:dyDescent="0.25">
      <c r="A128">
        <v>457769</v>
      </c>
      <c r="B128" s="11">
        <v>5.3333499999999999E-8</v>
      </c>
      <c r="C128" s="11">
        <v>2.8726299999999998E-9</v>
      </c>
      <c r="D128" s="11">
        <f t="shared" si="22"/>
        <v>0.97309995799514903</v>
      </c>
      <c r="E128" s="11">
        <f t="shared" si="14"/>
        <v>0.85510973783774924</v>
      </c>
      <c r="F128" s="12">
        <f t="shared" si="12"/>
        <v>7.629483333333333</v>
      </c>
      <c r="G128" s="10">
        <f t="shared" si="13"/>
        <v>5.3333499999999999E-8</v>
      </c>
      <c r="H128" s="10">
        <f t="shared" si="15"/>
        <v>18.566087522583835</v>
      </c>
      <c r="I128" s="10">
        <f t="shared" si="16"/>
        <v>5.4807833010168386E-8</v>
      </c>
      <c r="J128" s="10">
        <f t="shared" si="17"/>
        <v>6.2370357440742457E-8</v>
      </c>
      <c r="K128" s="2"/>
      <c r="L128" s="6">
        <f t="shared" si="18"/>
        <v>201.754965</v>
      </c>
      <c r="M128" s="6">
        <f t="shared" si="19"/>
        <v>210.72409338132653</v>
      </c>
      <c r="N128" s="6">
        <f t="shared" si="20"/>
        <v>209.85054873965669</v>
      </c>
      <c r="O128" s="6">
        <f t="shared" si="21"/>
        <v>208.15921529852434</v>
      </c>
      <c r="P128" s="2"/>
    </row>
    <row r="129" spans="1:16" x14ac:dyDescent="0.25">
      <c r="A129">
        <v>461481</v>
      </c>
      <c r="B129" s="11">
        <v>5.3131199999999999E-8</v>
      </c>
      <c r="C129" s="11">
        <v>2.8571499999999998E-9</v>
      </c>
      <c r="D129" s="11">
        <f t="shared" si="22"/>
        <v>0.96785612661075049</v>
      </c>
      <c r="E129" s="11">
        <f t="shared" si="14"/>
        <v>0.85050173097932047</v>
      </c>
      <c r="F129" s="12">
        <f t="shared" si="12"/>
        <v>7.6913499999999999</v>
      </c>
      <c r="G129" s="10">
        <f t="shared" si="13"/>
        <v>5.3131199999999999E-8</v>
      </c>
      <c r="H129" s="10">
        <f t="shared" si="15"/>
        <v>18.595873510316224</v>
      </c>
      <c r="I129" s="10">
        <f t="shared" si="16"/>
        <v>5.4895762437393905E-8</v>
      </c>
      <c r="J129" s="10">
        <f t="shared" si="17"/>
        <v>6.2470419594351016E-8</v>
      </c>
      <c r="K129" s="2"/>
      <c r="L129" s="6">
        <f t="shared" si="18"/>
        <v>200.988248</v>
      </c>
      <c r="M129" s="6">
        <f t="shared" si="19"/>
        <v>211.06216434208912</v>
      </c>
      <c r="N129" s="6">
        <f t="shared" si="20"/>
        <v>210.19347350583624</v>
      </c>
      <c r="O129" s="6">
        <f t="shared" si="21"/>
        <v>208.49942662079346</v>
      </c>
      <c r="P129" s="2"/>
    </row>
    <row r="130" spans="1:16" x14ac:dyDescent="0.25">
      <c r="A130">
        <v>465193</v>
      </c>
      <c r="B130" s="11">
        <v>5.30015E-8</v>
      </c>
      <c r="C130" s="11">
        <v>2.8540299999999999E-9</v>
      </c>
      <c r="D130" s="11">
        <f t="shared" si="22"/>
        <v>0.96679923036273219</v>
      </c>
      <c r="E130" s="11">
        <f t="shared" si="14"/>
        <v>0.84957298541095494</v>
      </c>
      <c r="F130" s="12">
        <f t="shared" si="12"/>
        <v>7.7532166666666669</v>
      </c>
      <c r="G130" s="10">
        <f t="shared" si="13"/>
        <v>5.30015E-8</v>
      </c>
      <c r="H130" s="10">
        <f t="shared" si="15"/>
        <v>18.570757840667408</v>
      </c>
      <c r="I130" s="10">
        <f t="shared" si="16"/>
        <v>5.4821619975963816E-8</v>
      </c>
      <c r="J130" s="10">
        <f t="shared" si="17"/>
        <v>6.238604676720288E-8</v>
      </c>
      <c r="K130" s="2"/>
      <c r="L130" s="6">
        <f t="shared" si="18"/>
        <v>200.49668500000001</v>
      </c>
      <c r="M130" s="6">
        <f t="shared" si="19"/>
        <v>210.77710149157508</v>
      </c>
      <c r="N130" s="6">
        <f t="shared" si="20"/>
        <v>209.90431790625888</v>
      </c>
      <c r="O130" s="6">
        <f t="shared" si="21"/>
        <v>208.21255900848979</v>
      </c>
      <c r="P130" s="2"/>
    </row>
    <row r="131" spans="1:16" x14ac:dyDescent="0.25">
      <c r="A131">
        <v>468905</v>
      </c>
      <c r="B131" s="11">
        <v>5.2826400000000001E-8</v>
      </c>
      <c r="C131" s="11">
        <v>2.84965E-9</v>
      </c>
      <c r="D131" s="11">
        <f t="shared" si="22"/>
        <v>0.96531551062993726</v>
      </c>
      <c r="E131" s="11">
        <f t="shared" si="14"/>
        <v>0.84826916951690345</v>
      </c>
      <c r="F131" s="12">
        <f t="shared" ref="F131:F166" si="23">A131/60000</f>
        <v>7.8150833333333329</v>
      </c>
      <c r="G131" s="10">
        <f t="shared" ref="G131:G166" si="24">B131</f>
        <v>5.2826400000000001E-8</v>
      </c>
      <c r="H131" s="10">
        <f t="shared" si="15"/>
        <v>18.537855526117244</v>
      </c>
      <c r="I131" s="10">
        <f t="shared" si="16"/>
        <v>5.4724491027319144E-8</v>
      </c>
      <c r="J131" s="10">
        <f t="shared" si="17"/>
        <v>6.2275515718772488E-8</v>
      </c>
      <c r="K131" s="2"/>
      <c r="L131" s="6">
        <f t="shared" si="18"/>
        <v>199.83305600000003</v>
      </c>
      <c r="M131" s="6">
        <f t="shared" si="19"/>
        <v>210.40366022143073</v>
      </c>
      <c r="N131" s="6">
        <f t="shared" si="20"/>
        <v>209.52551500654465</v>
      </c>
      <c r="O131" s="6">
        <f t="shared" si="21"/>
        <v>207.83675344382644</v>
      </c>
      <c r="P131" s="2"/>
    </row>
    <row r="132" spans="1:16" x14ac:dyDescent="0.25">
      <c r="A132">
        <v>472617</v>
      </c>
      <c r="B132" s="11">
        <v>5.2713999999999998E-8</v>
      </c>
      <c r="C132" s="11">
        <v>2.84616E-9</v>
      </c>
      <c r="D132" s="11">
        <f t="shared" si="22"/>
        <v>0.96413327732686549</v>
      </c>
      <c r="E132" s="11">
        <f t="shared" ref="E132:E166" si="25">C132/$C$3</f>
        <v>0.84723028424972535</v>
      </c>
      <c r="F132" s="12">
        <f t="shared" si="23"/>
        <v>7.8769499999999999</v>
      </c>
      <c r="G132" s="10">
        <f t="shared" si="24"/>
        <v>5.2713999999999998E-8</v>
      </c>
      <c r="H132" s="10">
        <f t="shared" ref="H132:H166" si="26">B132/C132</f>
        <v>18.521095089524131</v>
      </c>
      <c r="I132" s="10">
        <f t="shared" ref="I132:I166" si="27">B132/D132</f>
        <v>5.4675013548078815E-8</v>
      </c>
      <c r="J132" s="10">
        <f t="shared" ref="J132:J166" si="28">B132/E132</f>
        <v>6.2219211210894681E-8</v>
      </c>
      <c r="K132" s="2"/>
      <c r="L132" s="6">
        <f t="shared" ref="L132:L166" si="29">G132*3790000000-0.379</f>
        <v>199.40706</v>
      </c>
      <c r="M132" s="6">
        <f t="shared" ref="M132:M166" si="30">H132*11.35-0.001</f>
        <v>210.21342926609887</v>
      </c>
      <c r="N132" s="6">
        <f t="shared" ref="N132:N166" si="31">I132*3900000000-3.9</f>
        <v>209.33255283750736</v>
      </c>
      <c r="O132" s="6">
        <f t="shared" ref="O132:O166" si="32">J132*3400000000-3.9</f>
        <v>207.64531811704191</v>
      </c>
      <c r="P132" s="2"/>
    </row>
    <row r="133" spans="1:16" x14ac:dyDescent="0.25">
      <c r="A133">
        <v>476329</v>
      </c>
      <c r="B133" s="11">
        <v>5.2598300000000002E-8</v>
      </c>
      <c r="C133" s="11">
        <v>2.8482899999999999E-9</v>
      </c>
      <c r="D133" s="11">
        <f t="shared" si="22"/>
        <v>0.96485481226541636</v>
      </c>
      <c r="E133" s="11">
        <f t="shared" si="25"/>
        <v>0.84786433170505182</v>
      </c>
      <c r="F133" s="12">
        <f t="shared" si="23"/>
        <v>7.9388166666666669</v>
      </c>
      <c r="G133" s="10">
        <f t="shared" si="24"/>
        <v>5.2598300000000002E-8</v>
      </c>
      <c r="H133" s="10">
        <f t="shared" si="26"/>
        <v>18.466623833949495</v>
      </c>
      <c r="I133" s="10">
        <f t="shared" si="27"/>
        <v>5.4514212222772268E-8</v>
      </c>
      <c r="J133" s="10">
        <f t="shared" si="28"/>
        <v>6.2036222109054908E-8</v>
      </c>
      <c r="K133" s="2"/>
      <c r="L133" s="6">
        <f t="shared" si="29"/>
        <v>198.968557</v>
      </c>
      <c r="M133" s="6">
        <f t="shared" si="30"/>
        <v>209.59518051532675</v>
      </c>
      <c r="N133" s="6">
        <f t="shared" si="31"/>
        <v>208.70542766881184</v>
      </c>
      <c r="O133" s="6">
        <f t="shared" si="32"/>
        <v>207.02315517078668</v>
      </c>
      <c r="P133" s="2"/>
    </row>
    <row r="134" spans="1:16" x14ac:dyDescent="0.25">
      <c r="A134">
        <v>480041</v>
      </c>
      <c r="B134" s="11">
        <v>5.24585E-8</v>
      </c>
      <c r="C134" s="11">
        <v>2.8331700000000001E-9</v>
      </c>
      <c r="D134" s="11">
        <f t="shared" si="22"/>
        <v>0.95973293044809693</v>
      </c>
      <c r="E134" s="11">
        <f t="shared" si="25"/>
        <v>0.84336348779681902</v>
      </c>
      <c r="F134" s="12">
        <f t="shared" si="23"/>
        <v>8.0006833333333329</v>
      </c>
      <c r="G134" s="10">
        <f t="shared" si="24"/>
        <v>5.24585E-8</v>
      </c>
      <c r="H134" s="10">
        <f t="shared" si="26"/>
        <v>18.515832089143963</v>
      </c>
      <c r="I134" s="10">
        <f t="shared" si="27"/>
        <v>5.4659476960436543E-8</v>
      </c>
      <c r="J134" s="10">
        <f t="shared" si="28"/>
        <v>6.220153084530756E-8</v>
      </c>
      <c r="K134" s="2"/>
      <c r="L134" s="6">
        <f t="shared" si="29"/>
        <v>198.438715</v>
      </c>
      <c r="M134" s="6">
        <f t="shared" si="30"/>
        <v>210.15369421178397</v>
      </c>
      <c r="N134" s="6">
        <f t="shared" si="31"/>
        <v>209.27196014570251</v>
      </c>
      <c r="O134" s="6">
        <f t="shared" si="32"/>
        <v>207.5852048740457</v>
      </c>
      <c r="P134" s="2"/>
    </row>
    <row r="135" spans="1:16" x14ac:dyDescent="0.25">
      <c r="A135">
        <v>482813</v>
      </c>
      <c r="B135" s="11">
        <v>5.2285000000000001E-8</v>
      </c>
      <c r="C135" s="11">
        <v>2.8411E-9</v>
      </c>
      <c r="D135" s="11">
        <f t="shared" si="22"/>
        <v>0.96241920841181017</v>
      </c>
      <c r="E135" s="11">
        <f t="shared" si="25"/>
        <v>0.84572404944974799</v>
      </c>
      <c r="F135" s="12">
        <f t="shared" si="23"/>
        <v>8.0468833333333336</v>
      </c>
      <c r="G135" s="10">
        <f t="shared" si="24"/>
        <v>5.2285000000000001E-8</v>
      </c>
      <c r="H135" s="10">
        <f t="shared" si="26"/>
        <v>18.403083312801378</v>
      </c>
      <c r="I135" s="10">
        <f t="shared" si="27"/>
        <v>5.4326638062722185E-8</v>
      </c>
      <c r="J135" s="10">
        <f t="shared" si="28"/>
        <v>6.1822765988525571E-8</v>
      </c>
      <c r="K135" s="2"/>
      <c r="L135" s="6">
        <f t="shared" si="29"/>
        <v>197.78115000000003</v>
      </c>
      <c r="M135" s="6">
        <f t="shared" si="30"/>
        <v>208.87399560029564</v>
      </c>
      <c r="N135" s="6">
        <f t="shared" si="31"/>
        <v>207.97388844461651</v>
      </c>
      <c r="O135" s="6">
        <f t="shared" si="32"/>
        <v>206.29740436098695</v>
      </c>
      <c r="P135" s="2"/>
    </row>
    <row r="136" spans="1:16" x14ac:dyDescent="0.25">
      <c r="A136">
        <v>486525</v>
      </c>
      <c r="B136" s="11">
        <v>5.2167E-8</v>
      </c>
      <c r="C136" s="11">
        <v>2.8475900000000001E-9</v>
      </c>
      <c r="D136" s="11">
        <f t="shared" si="22"/>
        <v>0.96461768810720727</v>
      </c>
      <c r="E136" s="11">
        <f t="shared" si="25"/>
        <v>0.84765595930189286</v>
      </c>
      <c r="F136" s="12">
        <f t="shared" si="23"/>
        <v>8.1087500000000006</v>
      </c>
      <c r="G136" s="10">
        <f t="shared" si="24"/>
        <v>5.2167E-8</v>
      </c>
      <c r="H136" s="10">
        <f t="shared" si="26"/>
        <v>18.319701923380823</v>
      </c>
      <c r="I136" s="10">
        <f t="shared" si="27"/>
        <v>5.4080492865897122E-8</v>
      </c>
      <c r="J136" s="10">
        <f t="shared" si="28"/>
        <v>6.1542657050347847E-8</v>
      </c>
      <c r="K136" s="2"/>
      <c r="L136" s="6">
        <f t="shared" si="29"/>
        <v>197.33393000000001</v>
      </c>
      <c r="M136" s="6">
        <f t="shared" si="30"/>
        <v>207.92761683037233</v>
      </c>
      <c r="N136" s="6">
        <f t="shared" si="31"/>
        <v>207.01392217699876</v>
      </c>
      <c r="O136" s="6">
        <f t="shared" si="32"/>
        <v>205.34503397118269</v>
      </c>
      <c r="P136" s="2"/>
    </row>
    <row r="137" spans="1:16" x14ac:dyDescent="0.25">
      <c r="A137">
        <v>490237</v>
      </c>
      <c r="B137" s="11">
        <v>5.2019399999999999E-8</v>
      </c>
      <c r="C137" s="11">
        <v>2.8388700000000001E-9</v>
      </c>
      <c r="D137" s="11">
        <f t="shared" si="22"/>
        <v>0.96166379859351503</v>
      </c>
      <c r="E137" s="11">
        <f t="shared" si="25"/>
        <v>0.84506023450825607</v>
      </c>
      <c r="F137" s="12">
        <f t="shared" si="23"/>
        <v>8.1706166666666675</v>
      </c>
      <c r="G137" s="10">
        <f t="shared" si="24"/>
        <v>5.2019399999999999E-8</v>
      </c>
      <c r="H137" s="10">
        <f t="shared" si="26"/>
        <v>18.323981020617357</v>
      </c>
      <c r="I137" s="10">
        <f t="shared" si="27"/>
        <v>5.4093124932103265E-8</v>
      </c>
      <c r="J137" s="10">
        <f t="shared" si="28"/>
        <v>6.1557032121231336E-8</v>
      </c>
      <c r="K137" s="2"/>
      <c r="L137" s="6">
        <f t="shared" si="29"/>
        <v>196.77452600000001</v>
      </c>
      <c r="M137" s="6">
        <f t="shared" si="30"/>
        <v>207.97618458400697</v>
      </c>
      <c r="N137" s="6">
        <f t="shared" si="31"/>
        <v>207.06318723520272</v>
      </c>
      <c r="O137" s="6">
        <f t="shared" si="32"/>
        <v>205.39390921218654</v>
      </c>
      <c r="P137" s="2"/>
    </row>
    <row r="138" spans="1:16" x14ac:dyDescent="0.25">
      <c r="A138">
        <v>493949</v>
      </c>
      <c r="B138" s="11">
        <v>5.18914E-8</v>
      </c>
      <c r="C138" s="11">
        <v>2.8510400000000001E-9</v>
      </c>
      <c r="D138" s="11">
        <f t="shared" si="22"/>
        <v>0.96578637145838131</v>
      </c>
      <c r="E138" s="11">
        <f t="shared" si="25"/>
        <v>0.84868293757460478</v>
      </c>
      <c r="F138" s="12">
        <f t="shared" si="23"/>
        <v>8.2324833333333327</v>
      </c>
      <c r="G138" s="10">
        <f t="shared" si="24"/>
        <v>5.18914E-8</v>
      </c>
      <c r="H138" s="10">
        <f t="shared" si="26"/>
        <v>18.200867052023121</v>
      </c>
      <c r="I138" s="10">
        <f t="shared" si="27"/>
        <v>5.3729687572254336E-8</v>
      </c>
      <c r="J138" s="10">
        <f t="shared" si="28"/>
        <v>6.1143446748554908E-8</v>
      </c>
      <c r="K138" s="2"/>
      <c r="L138" s="6">
        <f t="shared" si="29"/>
        <v>196.28940600000001</v>
      </c>
      <c r="M138" s="6">
        <f t="shared" si="30"/>
        <v>206.57884104046241</v>
      </c>
      <c r="N138" s="6">
        <f t="shared" si="31"/>
        <v>205.6457815317919</v>
      </c>
      <c r="O138" s="6">
        <f t="shared" si="32"/>
        <v>203.98771894508667</v>
      </c>
      <c r="P138" s="2"/>
    </row>
    <row r="139" spans="1:16" x14ac:dyDescent="0.25">
      <c r="A139">
        <v>497661</v>
      </c>
      <c r="B139" s="11">
        <v>5.1799900000000002E-8</v>
      </c>
      <c r="C139" s="11">
        <v>2.83126E-9</v>
      </c>
      <c r="D139" s="11">
        <f t="shared" si="22"/>
        <v>0.95908592024498307</v>
      </c>
      <c r="E139" s="11">
        <f t="shared" si="25"/>
        <v>0.84279492881105678</v>
      </c>
      <c r="F139" s="12">
        <f t="shared" si="23"/>
        <v>8.2943499999999997</v>
      </c>
      <c r="G139" s="10">
        <f t="shared" si="24"/>
        <v>5.1799900000000002E-8</v>
      </c>
      <c r="H139" s="10">
        <f t="shared" si="26"/>
        <v>18.295705798831616</v>
      </c>
      <c r="I139" s="10">
        <f t="shared" si="27"/>
        <v>5.4009655346382885E-8</v>
      </c>
      <c r="J139" s="10">
        <f t="shared" si="28"/>
        <v>6.1462045189420975E-8</v>
      </c>
      <c r="K139" s="2"/>
      <c r="L139" s="6">
        <f t="shared" si="29"/>
        <v>195.942621</v>
      </c>
      <c r="M139" s="6">
        <f t="shared" si="30"/>
        <v>207.65526081673883</v>
      </c>
      <c r="N139" s="6">
        <f t="shared" si="31"/>
        <v>206.73765585089325</v>
      </c>
      <c r="O139" s="6">
        <f t="shared" si="32"/>
        <v>205.07095364403131</v>
      </c>
      <c r="P139" s="2"/>
    </row>
    <row r="140" spans="1:16" x14ac:dyDescent="0.25">
      <c r="A140">
        <v>501373</v>
      </c>
      <c r="B140" s="11">
        <v>5.1734200000000003E-8</v>
      </c>
      <c r="C140" s="11">
        <v>2.8249099999999999E-9</v>
      </c>
      <c r="D140" s="11">
        <f t="shared" ref="D140:D166" si="33">C140/$C$11</f>
        <v>0.95693486538122785</v>
      </c>
      <c r="E140" s="11">
        <f t="shared" si="25"/>
        <v>0.84090469343954366</v>
      </c>
      <c r="F140" s="12">
        <f t="shared" si="23"/>
        <v>8.3562166666666666</v>
      </c>
      <c r="G140" s="10">
        <f t="shared" si="24"/>
        <v>5.1734200000000003E-8</v>
      </c>
      <c r="H140" s="10">
        <f t="shared" si="26"/>
        <v>18.313574591756907</v>
      </c>
      <c r="I140" s="10">
        <f t="shared" si="27"/>
        <v>5.4062404737850064E-8</v>
      </c>
      <c r="J140" s="10">
        <f t="shared" si="28"/>
        <v>6.1522073076310403E-8</v>
      </c>
      <c r="K140" s="2"/>
      <c r="L140" s="6">
        <f t="shared" si="29"/>
        <v>195.69361800000001</v>
      </c>
      <c r="M140" s="6">
        <f t="shared" si="30"/>
        <v>207.8580716164409</v>
      </c>
      <c r="N140" s="6">
        <f t="shared" si="31"/>
        <v>206.94337847761525</v>
      </c>
      <c r="O140" s="6">
        <f t="shared" si="32"/>
        <v>205.27504845945538</v>
      </c>
      <c r="P140" s="2"/>
    </row>
    <row r="141" spans="1:16" x14ac:dyDescent="0.25">
      <c r="A141">
        <v>505085</v>
      </c>
      <c r="B141" s="11">
        <v>5.1581200000000001E-8</v>
      </c>
      <c r="C141" s="11">
        <v>2.85778E-9</v>
      </c>
      <c r="D141" s="11">
        <f t="shared" si="33"/>
        <v>0.9680695383531388</v>
      </c>
      <c r="E141" s="11">
        <f t="shared" si="25"/>
        <v>0.85068926614216356</v>
      </c>
      <c r="F141" s="12">
        <f t="shared" si="23"/>
        <v>8.4180833333333336</v>
      </c>
      <c r="G141" s="10">
        <f t="shared" si="24"/>
        <v>5.1581200000000001E-8</v>
      </c>
      <c r="H141" s="10">
        <f t="shared" si="26"/>
        <v>18.049394984918365</v>
      </c>
      <c r="I141" s="10">
        <f t="shared" si="27"/>
        <v>5.3282535971278409E-8</v>
      </c>
      <c r="J141" s="10">
        <f t="shared" si="28"/>
        <v>6.0634596030485209E-8</v>
      </c>
      <c r="K141" s="2"/>
      <c r="L141" s="6">
        <f t="shared" si="29"/>
        <v>195.11374800000002</v>
      </c>
      <c r="M141" s="6">
        <f t="shared" si="30"/>
        <v>204.85963307882344</v>
      </c>
      <c r="N141" s="6">
        <f t="shared" si="31"/>
        <v>203.90189028798579</v>
      </c>
      <c r="O141" s="6">
        <f t="shared" si="32"/>
        <v>202.2576265036497</v>
      </c>
      <c r="P141" s="2"/>
    </row>
    <row r="142" spans="1:16" x14ac:dyDescent="0.25">
      <c r="A142">
        <v>508797</v>
      </c>
      <c r="B142" s="11">
        <v>5.1445899999999997E-8</v>
      </c>
      <c r="C142" s="11">
        <v>2.8392800000000001E-9</v>
      </c>
      <c r="D142" s="11">
        <f t="shared" si="33"/>
        <v>0.96180268560046611</v>
      </c>
      <c r="E142" s="11">
        <f t="shared" si="25"/>
        <v>0.84518228120153482</v>
      </c>
      <c r="F142" s="12">
        <f t="shared" si="23"/>
        <v>8.4799500000000005</v>
      </c>
      <c r="G142" s="10">
        <f t="shared" si="24"/>
        <v>5.1445899999999997E-8</v>
      </c>
      <c r="H142" s="10">
        <f t="shared" si="26"/>
        <v>18.119347158434532</v>
      </c>
      <c r="I142" s="10">
        <f t="shared" si="27"/>
        <v>5.3489037585585076E-8</v>
      </c>
      <c r="J142" s="10">
        <f t="shared" si="28"/>
        <v>6.0869591263630217E-8</v>
      </c>
      <c r="K142" s="2"/>
      <c r="L142" s="6">
        <f t="shared" si="29"/>
        <v>194.60096100000001</v>
      </c>
      <c r="M142" s="6">
        <f t="shared" si="30"/>
        <v>205.65359024823192</v>
      </c>
      <c r="N142" s="6">
        <f t="shared" si="31"/>
        <v>204.7072465837818</v>
      </c>
      <c r="O142" s="6">
        <f t="shared" si="32"/>
        <v>203.05661029634274</v>
      </c>
      <c r="P142" s="2"/>
    </row>
    <row r="143" spans="1:16" x14ac:dyDescent="0.25">
      <c r="A143">
        <v>512509</v>
      </c>
      <c r="B143" s="11">
        <v>5.1340500000000002E-8</v>
      </c>
      <c r="C143" s="11">
        <v>2.8338999999999999E-9</v>
      </c>
      <c r="D143" s="11">
        <f t="shared" si="33"/>
        <v>0.95998021707022929</v>
      </c>
      <c r="E143" s="11">
        <f t="shared" si="25"/>
        <v>0.84358079044582757</v>
      </c>
      <c r="F143" s="12">
        <f t="shared" si="23"/>
        <v>8.5418166666666675</v>
      </c>
      <c r="G143" s="10">
        <f t="shared" si="24"/>
        <v>5.1340500000000002E-8</v>
      </c>
      <c r="H143" s="10">
        <f t="shared" si="26"/>
        <v>18.116553159956247</v>
      </c>
      <c r="I143" s="10">
        <f t="shared" si="27"/>
        <v>5.3480789590317242E-8</v>
      </c>
      <c r="J143" s="10">
        <f t="shared" si="28"/>
        <v>6.0860205188962217E-8</v>
      </c>
      <c r="K143" s="2"/>
      <c r="L143" s="6">
        <f t="shared" si="29"/>
        <v>194.20149500000002</v>
      </c>
      <c r="M143" s="6">
        <f t="shared" si="30"/>
        <v>205.62187836550339</v>
      </c>
      <c r="N143" s="6">
        <f t="shared" si="31"/>
        <v>204.67507940223723</v>
      </c>
      <c r="O143" s="6">
        <f t="shared" si="32"/>
        <v>203.02469764247152</v>
      </c>
      <c r="P143" s="2"/>
    </row>
    <row r="144" spans="1:16" x14ac:dyDescent="0.25">
      <c r="A144">
        <v>516221</v>
      </c>
      <c r="B144" s="11">
        <v>5.1276500000000003E-8</v>
      </c>
      <c r="C144" s="11">
        <v>2.82678E-9</v>
      </c>
      <c r="D144" s="11">
        <f t="shared" si="33"/>
        <v>0.95756832563244398</v>
      </c>
      <c r="E144" s="11">
        <f t="shared" si="25"/>
        <v>0.84146134543083972</v>
      </c>
      <c r="F144" s="12">
        <f t="shared" si="23"/>
        <v>8.6036833333333327</v>
      </c>
      <c r="G144" s="10">
        <f t="shared" si="24"/>
        <v>5.1276500000000003E-8</v>
      </c>
      <c r="H144" s="10">
        <f t="shared" si="26"/>
        <v>18.139543933380029</v>
      </c>
      <c r="I144" s="10">
        <f t="shared" si="27"/>
        <v>5.3548659273095187E-8</v>
      </c>
      <c r="J144" s="10">
        <f t="shared" si="28"/>
        <v>6.0937439703478878E-8</v>
      </c>
      <c r="K144" s="2"/>
      <c r="L144" s="6">
        <f t="shared" si="29"/>
        <v>193.95893500000003</v>
      </c>
      <c r="M144" s="6">
        <f t="shared" si="30"/>
        <v>205.8828236438633</v>
      </c>
      <c r="N144" s="6">
        <f t="shared" si="31"/>
        <v>204.93977116507122</v>
      </c>
      <c r="O144" s="6">
        <f t="shared" si="32"/>
        <v>203.28729499182819</v>
      </c>
      <c r="P144" s="2"/>
    </row>
    <row r="145" spans="1:16" x14ac:dyDescent="0.25">
      <c r="A145">
        <v>519933</v>
      </c>
      <c r="B145" s="11">
        <v>5.1159199999999999E-8</v>
      </c>
      <c r="C145" s="11">
        <v>2.81103E-9</v>
      </c>
      <c r="D145" s="11">
        <f t="shared" si="33"/>
        <v>0.95223303207273613</v>
      </c>
      <c r="E145" s="11">
        <f t="shared" si="25"/>
        <v>0.83677296635976384</v>
      </c>
      <c r="F145" s="12">
        <f t="shared" si="23"/>
        <v>8.6655499999999996</v>
      </c>
      <c r="G145" s="10">
        <f t="shared" si="24"/>
        <v>5.1159199999999999E-8</v>
      </c>
      <c r="H145" s="10">
        <f t="shared" si="26"/>
        <v>18.199450023656809</v>
      </c>
      <c r="I145" s="10">
        <f t="shared" si="27"/>
        <v>5.372550444783585E-8</v>
      </c>
      <c r="J145" s="10">
        <f t="shared" si="28"/>
        <v>6.1138686425971971E-8</v>
      </c>
      <c r="K145" s="2"/>
      <c r="L145" s="6">
        <f t="shared" si="29"/>
        <v>193.51436800000002</v>
      </c>
      <c r="M145" s="6">
        <f t="shared" si="30"/>
        <v>206.56275776850475</v>
      </c>
      <c r="N145" s="6">
        <f t="shared" si="31"/>
        <v>205.62946734655981</v>
      </c>
      <c r="O145" s="6">
        <f t="shared" si="32"/>
        <v>203.97153384830469</v>
      </c>
      <c r="P145" s="2"/>
    </row>
    <row r="146" spans="1:16" x14ac:dyDescent="0.25">
      <c r="A146">
        <v>523645</v>
      </c>
      <c r="B146" s="11">
        <v>5.1088099999999999E-8</v>
      </c>
      <c r="C146" s="11">
        <v>2.81284E-9</v>
      </c>
      <c r="D146" s="11">
        <f t="shared" si="33"/>
        <v>0.95284616739610573</v>
      </c>
      <c r="E146" s="11">
        <f t="shared" si="25"/>
        <v>0.83731175785936052</v>
      </c>
      <c r="F146" s="12">
        <f t="shared" si="23"/>
        <v>8.7274166666666666</v>
      </c>
      <c r="G146" s="10">
        <f t="shared" si="24"/>
        <v>5.1088099999999999E-8</v>
      </c>
      <c r="H146" s="10">
        <f t="shared" si="26"/>
        <v>18.162462137910438</v>
      </c>
      <c r="I146" s="10">
        <f t="shared" si="27"/>
        <v>5.3616314729597132E-8</v>
      </c>
      <c r="J146" s="10">
        <f t="shared" si="28"/>
        <v>6.1014430432232196E-8</v>
      </c>
      <c r="K146" s="2"/>
      <c r="L146" s="6">
        <f t="shared" si="29"/>
        <v>193.244899</v>
      </c>
      <c r="M146" s="6">
        <f t="shared" si="30"/>
        <v>206.14294526528346</v>
      </c>
      <c r="N146" s="6">
        <f t="shared" si="31"/>
        <v>205.20362744542882</v>
      </c>
      <c r="O146" s="6">
        <f t="shared" si="32"/>
        <v>203.54906346958947</v>
      </c>
      <c r="P146" s="2"/>
    </row>
    <row r="147" spans="1:16" x14ac:dyDescent="0.25">
      <c r="A147">
        <v>527357</v>
      </c>
      <c r="B147" s="11">
        <v>5.1009200000000001E-8</v>
      </c>
      <c r="C147" s="11">
        <v>2.8309599999999999E-9</v>
      </c>
      <c r="D147" s="11">
        <f t="shared" si="33"/>
        <v>0.95898429560575049</v>
      </c>
      <c r="E147" s="11">
        <f t="shared" si="25"/>
        <v>0.84270562635256008</v>
      </c>
      <c r="F147" s="12">
        <f t="shared" si="23"/>
        <v>8.7892833333333336</v>
      </c>
      <c r="G147" s="10">
        <f t="shared" si="24"/>
        <v>5.1009200000000001E-8</v>
      </c>
      <c r="H147" s="10">
        <f t="shared" si="26"/>
        <v>18.018340068386696</v>
      </c>
      <c r="I147" s="10">
        <f t="shared" si="27"/>
        <v>5.319086061548027E-8</v>
      </c>
      <c r="J147" s="10">
        <f t="shared" si="28"/>
        <v>6.0530271075536218E-8</v>
      </c>
      <c r="K147" s="2"/>
      <c r="L147" s="6">
        <f t="shared" si="29"/>
        <v>192.94586800000002</v>
      </c>
      <c r="M147" s="6">
        <f t="shared" si="30"/>
        <v>204.50715977618898</v>
      </c>
      <c r="N147" s="6">
        <f t="shared" si="31"/>
        <v>203.54435640037303</v>
      </c>
      <c r="O147" s="6">
        <f t="shared" si="32"/>
        <v>201.90292165682314</v>
      </c>
      <c r="P147" s="2"/>
    </row>
    <row r="148" spans="1:16" x14ac:dyDescent="0.25">
      <c r="A148">
        <v>531069</v>
      </c>
      <c r="B148" s="11">
        <v>5.09967E-8</v>
      </c>
      <c r="C148" s="11">
        <v>2.8176399999999998E-9</v>
      </c>
      <c r="D148" s="11">
        <f t="shared" si="33"/>
        <v>0.95447216162382609</v>
      </c>
      <c r="E148" s="11">
        <f t="shared" si="25"/>
        <v>0.83874059719530736</v>
      </c>
      <c r="F148" s="12">
        <f t="shared" si="23"/>
        <v>8.8511500000000005</v>
      </c>
      <c r="G148" s="10">
        <f t="shared" si="24"/>
        <v>5.09967E-8</v>
      </c>
      <c r="H148" s="10">
        <f t="shared" si="26"/>
        <v>18.099082920458258</v>
      </c>
      <c r="I148" s="10">
        <f t="shared" si="27"/>
        <v>5.3429216744509599E-8</v>
      </c>
      <c r="J148" s="10">
        <f t="shared" si="28"/>
        <v>6.0801516190499862E-8</v>
      </c>
      <c r="K148" s="2"/>
      <c r="L148" s="6">
        <f t="shared" si="29"/>
        <v>192.898493</v>
      </c>
      <c r="M148" s="6">
        <f t="shared" si="30"/>
        <v>205.42359114720122</v>
      </c>
      <c r="N148" s="6">
        <f t="shared" si="31"/>
        <v>204.47394530358744</v>
      </c>
      <c r="O148" s="6">
        <f t="shared" si="32"/>
        <v>202.82515504769952</v>
      </c>
      <c r="P148" s="2"/>
    </row>
    <row r="149" spans="1:16" x14ac:dyDescent="0.25">
      <c r="A149">
        <v>534781</v>
      </c>
      <c r="B149" s="11">
        <v>5.0811599999999997E-8</v>
      </c>
      <c r="C149" s="11">
        <v>2.8180499999999998E-9</v>
      </c>
      <c r="D149" s="11">
        <f t="shared" si="33"/>
        <v>0.95461104863077728</v>
      </c>
      <c r="E149" s="11">
        <f t="shared" si="25"/>
        <v>0.83886264388858611</v>
      </c>
      <c r="F149" s="12">
        <f t="shared" si="23"/>
        <v>8.9130166666666675</v>
      </c>
      <c r="G149" s="10">
        <f t="shared" si="24"/>
        <v>5.0811599999999997E-8</v>
      </c>
      <c r="H149" s="10">
        <f t="shared" si="26"/>
        <v>18.030765955181774</v>
      </c>
      <c r="I149" s="10">
        <f t="shared" si="27"/>
        <v>5.3227542330334807E-8</v>
      </c>
      <c r="J149" s="10">
        <f t="shared" si="28"/>
        <v>6.0572014226859E-8</v>
      </c>
      <c r="K149" s="2"/>
      <c r="L149" s="6">
        <f t="shared" si="29"/>
        <v>192.19696400000001</v>
      </c>
      <c r="M149" s="6">
        <f t="shared" si="30"/>
        <v>204.64819359131312</v>
      </c>
      <c r="N149" s="6">
        <f t="shared" si="31"/>
        <v>203.68741508830576</v>
      </c>
      <c r="O149" s="6">
        <f t="shared" si="32"/>
        <v>202.0448483713206</v>
      </c>
      <c r="P149" s="2"/>
    </row>
    <row r="150" spans="1:16" x14ac:dyDescent="0.25">
      <c r="A150">
        <v>538493</v>
      </c>
      <c r="B150" s="11">
        <v>5.08256E-8</v>
      </c>
      <c r="C150" s="11">
        <v>2.8229599999999999E-9</v>
      </c>
      <c r="D150" s="11">
        <f t="shared" si="33"/>
        <v>0.95627430522621637</v>
      </c>
      <c r="E150" s="11">
        <f t="shared" si="25"/>
        <v>0.84032422745931523</v>
      </c>
      <c r="F150" s="12">
        <f t="shared" si="23"/>
        <v>8.9748833333333327</v>
      </c>
      <c r="G150" s="10">
        <f t="shared" si="24"/>
        <v>5.08256E-8</v>
      </c>
      <c r="H150" s="10">
        <f t="shared" si="26"/>
        <v>18.004364213449712</v>
      </c>
      <c r="I150" s="10">
        <f t="shared" si="27"/>
        <v>5.3149603332672089E-8</v>
      </c>
      <c r="J150" s="10">
        <f t="shared" si="28"/>
        <v>6.048332100773656E-8</v>
      </c>
      <c r="K150" s="2"/>
      <c r="L150" s="6">
        <f t="shared" si="29"/>
        <v>192.250024</v>
      </c>
      <c r="M150" s="6">
        <f t="shared" si="30"/>
        <v>204.34853382265422</v>
      </c>
      <c r="N150" s="6">
        <f t="shared" si="31"/>
        <v>203.38345299742113</v>
      </c>
      <c r="O150" s="6">
        <f t="shared" si="32"/>
        <v>201.7432914263043</v>
      </c>
      <c r="P150" s="2"/>
    </row>
    <row r="151" spans="1:16" x14ac:dyDescent="0.25">
      <c r="A151">
        <v>542205</v>
      </c>
      <c r="B151" s="11">
        <v>5.0731900000000002E-8</v>
      </c>
      <c r="C151" s="11">
        <v>2.8460299999999999E-9</v>
      </c>
      <c r="D151" s="11">
        <f t="shared" si="33"/>
        <v>0.96408923998319807</v>
      </c>
      <c r="E151" s="11">
        <f t="shared" si="25"/>
        <v>0.84719158651771009</v>
      </c>
      <c r="F151" s="12">
        <f t="shared" si="23"/>
        <v>9.0367499999999996</v>
      </c>
      <c r="G151" s="10">
        <f t="shared" si="24"/>
        <v>5.0731900000000002E-8</v>
      </c>
      <c r="H151" s="10">
        <f t="shared" si="26"/>
        <v>17.825497271638039</v>
      </c>
      <c r="I151" s="10">
        <f t="shared" si="27"/>
        <v>5.2621580965766351E-8</v>
      </c>
      <c r="J151" s="10">
        <f t="shared" si="28"/>
        <v>5.9882440769422681E-8</v>
      </c>
      <c r="K151" s="2"/>
      <c r="L151" s="6">
        <f t="shared" si="29"/>
        <v>191.894901</v>
      </c>
      <c r="M151" s="6">
        <f t="shared" si="30"/>
        <v>202.31839403309172</v>
      </c>
      <c r="N151" s="6">
        <f t="shared" si="31"/>
        <v>201.32416576648876</v>
      </c>
      <c r="O151" s="6">
        <f t="shared" si="32"/>
        <v>199.70029861603712</v>
      </c>
      <c r="P151" s="2"/>
    </row>
    <row r="152" spans="1:16" x14ac:dyDescent="0.25">
      <c r="A152">
        <v>545917</v>
      </c>
      <c r="B152" s="11">
        <v>5.0576399999999998E-8</v>
      </c>
      <c r="C152" s="11">
        <v>2.8241599999999999E-9</v>
      </c>
      <c r="D152" s="11">
        <f t="shared" si="33"/>
        <v>0.95668080378314646</v>
      </c>
      <c r="E152" s="11">
        <f t="shared" si="25"/>
        <v>0.84068143729330191</v>
      </c>
      <c r="F152" s="12">
        <f t="shared" si="23"/>
        <v>9.0986166666666666</v>
      </c>
      <c r="G152" s="10">
        <f t="shared" si="24"/>
        <v>5.0576399999999998E-8</v>
      </c>
      <c r="H152" s="10">
        <f t="shared" si="26"/>
        <v>17.90847544048496</v>
      </c>
      <c r="I152" s="10">
        <f t="shared" si="27"/>
        <v>5.2866535839329222E-8</v>
      </c>
      <c r="J152" s="10">
        <f t="shared" si="28"/>
        <v>6.0161195140501959E-8</v>
      </c>
      <c r="K152" s="2"/>
      <c r="L152" s="6">
        <f t="shared" si="29"/>
        <v>191.305556</v>
      </c>
      <c r="M152" s="6">
        <f t="shared" si="30"/>
        <v>203.26019624950428</v>
      </c>
      <c r="N152" s="6">
        <f t="shared" si="31"/>
        <v>202.27948977338397</v>
      </c>
      <c r="O152" s="6">
        <f t="shared" si="32"/>
        <v>200.64806347770664</v>
      </c>
      <c r="P152" s="2"/>
    </row>
    <row r="153" spans="1:16" x14ac:dyDescent="0.25">
      <c r="A153">
        <v>549629</v>
      </c>
      <c r="B153" s="11">
        <v>5.0556199999999997E-8</v>
      </c>
      <c r="C153" s="11">
        <v>2.8041800000000001E-9</v>
      </c>
      <c r="D153" s="11">
        <f t="shared" si="33"/>
        <v>0.94991260281026002</v>
      </c>
      <c r="E153" s="11">
        <f t="shared" si="25"/>
        <v>0.834733893557423</v>
      </c>
      <c r="F153" s="12">
        <f t="shared" si="23"/>
        <v>9.1604833333333335</v>
      </c>
      <c r="G153" s="10">
        <f t="shared" si="24"/>
        <v>5.0556199999999997E-8</v>
      </c>
      <c r="H153" s="10">
        <f t="shared" si="26"/>
        <v>18.028871185159296</v>
      </c>
      <c r="I153" s="10">
        <f t="shared" si="27"/>
        <v>5.3221948893437649E-8</v>
      </c>
      <c r="J153" s="10">
        <f t="shared" si="28"/>
        <v>6.0565648993288586E-8</v>
      </c>
      <c r="K153" s="2"/>
      <c r="L153" s="6">
        <f t="shared" si="29"/>
        <v>191.22899799999999</v>
      </c>
      <c r="M153" s="6">
        <f t="shared" si="30"/>
        <v>204.62668795155801</v>
      </c>
      <c r="N153" s="6">
        <f t="shared" si="31"/>
        <v>203.66560068440683</v>
      </c>
      <c r="O153" s="6">
        <f t="shared" si="32"/>
        <v>202.02320657718118</v>
      </c>
      <c r="P153" s="2"/>
    </row>
    <row r="154" spans="1:16" x14ac:dyDescent="0.25">
      <c r="A154">
        <v>553341</v>
      </c>
      <c r="B154" s="11">
        <v>5.0402200000000001E-8</v>
      </c>
      <c r="C154" s="11">
        <v>2.82572E-9</v>
      </c>
      <c r="D154" s="11">
        <f t="shared" si="33"/>
        <v>0.95720925190715567</v>
      </c>
      <c r="E154" s="11">
        <f t="shared" si="25"/>
        <v>0.84114581007748479</v>
      </c>
      <c r="F154" s="12">
        <f t="shared" si="23"/>
        <v>9.2223500000000005</v>
      </c>
      <c r="G154" s="10">
        <f t="shared" si="24"/>
        <v>5.0402200000000001E-8</v>
      </c>
      <c r="H154" s="10">
        <f t="shared" si="26"/>
        <v>17.836940673527454</v>
      </c>
      <c r="I154" s="10">
        <f t="shared" si="27"/>
        <v>5.2655362345879995E-8</v>
      </c>
      <c r="J154" s="10">
        <f t="shared" si="28"/>
        <v>5.9920883390427922E-8</v>
      </c>
      <c r="K154" s="2"/>
      <c r="L154" s="6">
        <f t="shared" si="29"/>
        <v>190.64533800000001</v>
      </c>
      <c r="M154" s="6">
        <f t="shared" si="30"/>
        <v>202.44827664453661</v>
      </c>
      <c r="N154" s="6">
        <f t="shared" si="31"/>
        <v>201.45591314893198</v>
      </c>
      <c r="O154" s="6">
        <f t="shared" si="32"/>
        <v>199.83100352745493</v>
      </c>
      <c r="P154" s="2"/>
    </row>
    <row r="155" spans="1:16" x14ac:dyDescent="0.25">
      <c r="A155">
        <v>557053</v>
      </c>
      <c r="B155" s="11">
        <v>5.0224099999999999E-8</v>
      </c>
      <c r="C155" s="11">
        <v>2.8434900000000001E-9</v>
      </c>
      <c r="D155" s="11">
        <f t="shared" si="33"/>
        <v>0.963228818037696</v>
      </c>
      <c r="E155" s="11">
        <f t="shared" si="25"/>
        <v>0.84643549236910487</v>
      </c>
      <c r="F155" s="12">
        <f t="shared" si="23"/>
        <v>9.2842166666666675</v>
      </c>
      <c r="G155" s="10">
        <f t="shared" si="24"/>
        <v>5.0224099999999999E-8</v>
      </c>
      <c r="H155" s="10">
        <f t="shared" si="26"/>
        <v>17.662836865964007</v>
      </c>
      <c r="I155" s="10">
        <f t="shared" si="27"/>
        <v>5.2141400941800388E-8</v>
      </c>
      <c r="J155" s="10">
        <f t="shared" si="28"/>
        <v>5.9336004282413514E-8</v>
      </c>
      <c r="K155" s="2"/>
      <c r="L155" s="6">
        <f t="shared" si="29"/>
        <v>189.970339</v>
      </c>
      <c r="M155" s="6">
        <f t="shared" si="30"/>
        <v>200.47219842869146</v>
      </c>
      <c r="N155" s="6">
        <f t="shared" si="31"/>
        <v>199.45146367302152</v>
      </c>
      <c r="O155" s="6">
        <f t="shared" si="32"/>
        <v>197.84241456020595</v>
      </c>
      <c r="P155" s="2"/>
    </row>
    <row r="156" spans="1:16" x14ac:dyDescent="0.25">
      <c r="A156">
        <v>560765</v>
      </c>
      <c r="B156" s="11">
        <v>5.0323300000000003E-8</v>
      </c>
      <c r="C156" s="11">
        <v>2.8272699999999999E-9</v>
      </c>
      <c r="D156" s="11">
        <f t="shared" si="33"/>
        <v>0.95773431254319041</v>
      </c>
      <c r="E156" s="11">
        <f t="shared" si="25"/>
        <v>0.84160720611305084</v>
      </c>
      <c r="F156" s="12">
        <f t="shared" si="23"/>
        <v>9.3460833333333326</v>
      </c>
      <c r="G156" s="10">
        <f t="shared" si="24"/>
        <v>5.0323300000000003E-8</v>
      </c>
      <c r="H156" s="10">
        <f t="shared" si="26"/>
        <v>17.799255111821655</v>
      </c>
      <c r="I156" s="10">
        <f t="shared" si="27"/>
        <v>5.2544113060301993E-8</v>
      </c>
      <c r="J156" s="10">
        <f t="shared" si="28"/>
        <v>5.979428364500031E-8</v>
      </c>
      <c r="K156" s="2"/>
      <c r="L156" s="6">
        <f t="shared" si="29"/>
        <v>190.34630700000002</v>
      </c>
      <c r="M156" s="6">
        <f t="shared" si="30"/>
        <v>202.02054551917576</v>
      </c>
      <c r="N156" s="6">
        <f t="shared" si="31"/>
        <v>201.02204093517776</v>
      </c>
      <c r="O156" s="6">
        <f t="shared" si="32"/>
        <v>199.40056439300105</v>
      </c>
      <c r="P156" s="2"/>
    </row>
    <row r="157" spans="1:16" x14ac:dyDescent="0.25">
      <c r="A157">
        <v>564477</v>
      </c>
      <c r="B157" s="11">
        <v>5.0112300000000002E-8</v>
      </c>
      <c r="C157" s="11">
        <v>2.8123500000000001E-9</v>
      </c>
      <c r="D157" s="11">
        <f t="shared" si="33"/>
        <v>0.9526801804853593</v>
      </c>
      <c r="E157" s="11">
        <f t="shared" si="25"/>
        <v>0.83716589717714929</v>
      </c>
      <c r="F157" s="12">
        <f t="shared" si="23"/>
        <v>9.4079499999999996</v>
      </c>
      <c r="G157" s="10">
        <f t="shared" si="24"/>
        <v>5.0112300000000002E-8</v>
      </c>
      <c r="H157" s="10">
        <f t="shared" si="26"/>
        <v>17.818656995039735</v>
      </c>
      <c r="I157" s="10">
        <f t="shared" si="27"/>
        <v>5.2601388195637102E-8</v>
      </c>
      <c r="J157" s="10">
        <f t="shared" si="28"/>
        <v>5.9859461749426639E-8</v>
      </c>
      <c r="K157" s="2"/>
      <c r="L157" s="6">
        <f t="shared" si="29"/>
        <v>189.54661700000003</v>
      </c>
      <c r="M157" s="6">
        <f t="shared" si="30"/>
        <v>202.24075689370099</v>
      </c>
      <c r="N157" s="6">
        <f t="shared" si="31"/>
        <v>201.24541396298468</v>
      </c>
      <c r="O157" s="6">
        <f t="shared" si="32"/>
        <v>199.62216994805055</v>
      </c>
      <c r="P157" s="2"/>
    </row>
    <row r="158" spans="1:16" x14ac:dyDescent="0.25">
      <c r="A158">
        <v>568189</v>
      </c>
      <c r="B158" s="11">
        <v>5.0174899999999999E-8</v>
      </c>
      <c r="C158" s="11">
        <v>2.8144499999999999E-9</v>
      </c>
      <c r="D158" s="11">
        <f t="shared" si="33"/>
        <v>0.9533915529599869</v>
      </c>
      <c r="E158" s="11">
        <f t="shared" si="25"/>
        <v>0.83779101438662595</v>
      </c>
      <c r="F158" s="12">
        <f t="shared" si="23"/>
        <v>9.4698166666666665</v>
      </c>
      <c r="G158" s="10">
        <f t="shared" si="24"/>
        <v>5.0174899999999999E-8</v>
      </c>
      <c r="H158" s="10">
        <f t="shared" si="26"/>
        <v>17.827603972356943</v>
      </c>
      <c r="I158" s="10">
        <f t="shared" si="27"/>
        <v>5.2627800030556597E-8</v>
      </c>
      <c r="J158" s="10">
        <f t="shared" si="28"/>
        <v>5.9889517956616747E-8</v>
      </c>
      <c r="K158" s="2"/>
      <c r="L158" s="6">
        <f t="shared" si="29"/>
        <v>189.783871</v>
      </c>
      <c r="M158" s="6">
        <f t="shared" si="30"/>
        <v>202.34230508625129</v>
      </c>
      <c r="N158" s="6">
        <f t="shared" si="31"/>
        <v>201.34842011917073</v>
      </c>
      <c r="O158" s="6">
        <f t="shared" si="32"/>
        <v>199.72436105249693</v>
      </c>
      <c r="P158" s="2"/>
    </row>
    <row r="159" spans="1:16" x14ac:dyDescent="0.25">
      <c r="A159">
        <v>571901</v>
      </c>
      <c r="B159" s="11">
        <v>5.0081200000000001E-8</v>
      </c>
      <c r="C159" s="11">
        <v>2.8396600000000001E-9</v>
      </c>
      <c r="D159" s="11">
        <f t="shared" si="33"/>
        <v>0.96193141014349404</v>
      </c>
      <c r="E159" s="11">
        <f t="shared" si="25"/>
        <v>0.84529539764896389</v>
      </c>
      <c r="F159" s="12">
        <f t="shared" si="23"/>
        <v>9.5316833333333335</v>
      </c>
      <c r="G159" s="10">
        <f t="shared" si="24"/>
        <v>5.0081200000000001E-8</v>
      </c>
      <c r="H159" s="10">
        <f t="shared" si="26"/>
        <v>17.63633674453984</v>
      </c>
      <c r="I159" s="10">
        <f t="shared" si="27"/>
        <v>5.2063171523351383E-8</v>
      </c>
      <c r="J159" s="10">
        <f t="shared" si="28"/>
        <v>5.9246980569504807E-8</v>
      </c>
      <c r="K159" s="2"/>
      <c r="L159" s="6">
        <f t="shared" si="29"/>
        <v>189.42874800000001</v>
      </c>
      <c r="M159" s="6">
        <f t="shared" si="30"/>
        <v>200.17142205052716</v>
      </c>
      <c r="N159" s="6">
        <f t="shared" si="31"/>
        <v>199.14636894107039</v>
      </c>
      <c r="O159" s="6">
        <f t="shared" si="32"/>
        <v>197.53973393631634</v>
      </c>
      <c r="P159" s="2"/>
    </row>
    <row r="160" spans="1:16" x14ac:dyDescent="0.25">
      <c r="A160">
        <v>575613</v>
      </c>
      <c r="B160" s="11">
        <v>5.0019400000000001E-8</v>
      </c>
      <c r="C160" s="11">
        <v>2.7901499999999999E-9</v>
      </c>
      <c r="D160" s="11">
        <f t="shared" si="33"/>
        <v>0.94515995718215196</v>
      </c>
      <c r="E160" s="11">
        <f t="shared" si="25"/>
        <v>0.83055751524839472</v>
      </c>
      <c r="F160" s="12">
        <f t="shared" si="23"/>
        <v>9.5935500000000005</v>
      </c>
      <c r="G160" s="10">
        <f t="shared" si="24"/>
        <v>5.0019400000000001E-8</v>
      </c>
      <c r="H160" s="10">
        <f t="shared" si="26"/>
        <v>17.927136533878109</v>
      </c>
      <c r="I160" s="10">
        <f t="shared" si="27"/>
        <v>5.2921624133469531E-8</v>
      </c>
      <c r="J160" s="10">
        <f t="shared" si="28"/>
        <v>6.0223884657814098E-8</v>
      </c>
      <c r="K160" s="2"/>
      <c r="L160" s="6">
        <f t="shared" si="29"/>
        <v>189.19452600000002</v>
      </c>
      <c r="M160" s="6">
        <f t="shared" si="30"/>
        <v>203.47199965951651</v>
      </c>
      <c r="N160" s="6">
        <f t="shared" si="31"/>
        <v>202.49433412053116</v>
      </c>
      <c r="O160" s="6">
        <f t="shared" si="32"/>
        <v>200.86120783656793</v>
      </c>
      <c r="P160" s="2"/>
    </row>
    <row r="161" spans="1:16" x14ac:dyDescent="0.25">
      <c r="A161">
        <v>579325</v>
      </c>
      <c r="B161" s="11">
        <v>4.9931200000000003E-8</v>
      </c>
      <c r="C161" s="11">
        <v>2.84298E-9</v>
      </c>
      <c r="D161" s="11">
        <f t="shared" si="33"/>
        <v>0.96305605615100065</v>
      </c>
      <c r="E161" s="11">
        <f t="shared" si="25"/>
        <v>0.84628367818966055</v>
      </c>
      <c r="F161" s="12">
        <f t="shared" si="23"/>
        <v>9.6554166666666674</v>
      </c>
      <c r="G161" s="10">
        <f t="shared" si="24"/>
        <v>4.9931200000000003E-8</v>
      </c>
      <c r="H161" s="10">
        <f t="shared" si="26"/>
        <v>17.562979690324941</v>
      </c>
      <c r="I161" s="10">
        <f t="shared" si="27"/>
        <v>5.1846618565026845E-8</v>
      </c>
      <c r="J161" s="10">
        <f t="shared" si="28"/>
        <v>5.90005470822869E-8</v>
      </c>
      <c r="K161" s="2"/>
      <c r="L161" s="6">
        <f t="shared" si="29"/>
        <v>188.86024800000001</v>
      </c>
      <c r="M161" s="6">
        <f t="shared" si="30"/>
        <v>199.33881948518805</v>
      </c>
      <c r="N161" s="6">
        <f t="shared" si="31"/>
        <v>198.30181240360469</v>
      </c>
      <c r="O161" s="6">
        <f t="shared" si="32"/>
        <v>196.70186007977546</v>
      </c>
      <c r="P161" s="2"/>
    </row>
    <row r="162" spans="1:16" x14ac:dyDescent="0.25">
      <c r="A162">
        <v>583037</v>
      </c>
      <c r="B162" s="11">
        <v>4.9931200000000003E-8</v>
      </c>
      <c r="C162" s="11">
        <v>2.8167799999999999E-9</v>
      </c>
      <c r="D162" s="11">
        <f t="shared" si="33"/>
        <v>0.95418083765802619</v>
      </c>
      <c r="E162" s="11">
        <f t="shared" si="25"/>
        <v>0.83848459681428356</v>
      </c>
      <c r="F162" s="12">
        <f t="shared" si="23"/>
        <v>9.7172833333333326</v>
      </c>
      <c r="G162" s="10">
        <f t="shared" si="24"/>
        <v>4.9931200000000003E-8</v>
      </c>
      <c r="H162" s="10">
        <f t="shared" si="26"/>
        <v>17.726340005254229</v>
      </c>
      <c r="I162" s="10">
        <f t="shared" si="27"/>
        <v>5.2328864749110699E-8</v>
      </c>
      <c r="J162" s="10">
        <f t="shared" si="28"/>
        <v>5.9549334823450901E-8</v>
      </c>
      <c r="K162" s="2"/>
      <c r="L162" s="6">
        <f t="shared" si="29"/>
        <v>188.86024800000001</v>
      </c>
      <c r="M162" s="6">
        <f t="shared" si="30"/>
        <v>201.19295905963548</v>
      </c>
      <c r="N162" s="6">
        <f t="shared" si="31"/>
        <v>200.18257252153171</v>
      </c>
      <c r="O162" s="6">
        <f t="shared" si="32"/>
        <v>198.56773839973306</v>
      </c>
      <c r="P162" s="2"/>
    </row>
    <row r="163" spans="1:16" x14ac:dyDescent="0.25">
      <c r="A163">
        <v>586749</v>
      </c>
      <c r="B163" s="11">
        <v>4.98155E-8</v>
      </c>
      <c r="C163" s="11">
        <v>2.8332499999999999E-9</v>
      </c>
      <c r="D163" s="11">
        <f t="shared" si="33"/>
        <v>0.95976003035189217</v>
      </c>
      <c r="E163" s="11">
        <f t="shared" si="25"/>
        <v>0.84338730178575139</v>
      </c>
      <c r="F163" s="12">
        <f t="shared" si="23"/>
        <v>9.7791499999999996</v>
      </c>
      <c r="G163" s="10">
        <f t="shared" si="24"/>
        <v>4.98155E-8</v>
      </c>
      <c r="H163" s="10">
        <f t="shared" si="26"/>
        <v>17.582458307597282</v>
      </c>
      <c r="I163" s="10">
        <f t="shared" si="27"/>
        <v>5.1904120222359487E-8</v>
      </c>
      <c r="J163" s="10">
        <f t="shared" si="28"/>
        <v>5.9065982964793088E-8</v>
      </c>
      <c r="K163" s="2"/>
      <c r="L163" s="6">
        <f t="shared" si="29"/>
        <v>188.42174500000002</v>
      </c>
      <c r="M163" s="6">
        <f t="shared" si="30"/>
        <v>199.55990179122912</v>
      </c>
      <c r="N163" s="6">
        <f t="shared" si="31"/>
        <v>198.52606886720199</v>
      </c>
      <c r="O163" s="6">
        <f t="shared" si="32"/>
        <v>196.9243420802965</v>
      </c>
      <c r="P163" s="2"/>
    </row>
    <row r="164" spans="1:16" x14ac:dyDescent="0.25">
      <c r="A164">
        <v>590461</v>
      </c>
      <c r="B164" s="11">
        <v>4.96936E-8</v>
      </c>
      <c r="C164" s="11">
        <v>2.8141200000000002E-9</v>
      </c>
      <c r="D164" s="11">
        <f t="shared" si="33"/>
        <v>0.95327976585683127</v>
      </c>
      <c r="E164" s="11">
        <f t="shared" si="25"/>
        <v>0.83769278168227979</v>
      </c>
      <c r="F164" s="12">
        <f t="shared" si="23"/>
        <v>9.8410166666666665</v>
      </c>
      <c r="G164" s="10">
        <f t="shared" si="24"/>
        <v>4.96936E-8</v>
      </c>
      <c r="H164" s="10">
        <f t="shared" si="26"/>
        <v>17.658664164996516</v>
      </c>
      <c r="I164" s="10">
        <f t="shared" si="27"/>
        <v>5.2129082961636316E-8</v>
      </c>
      <c r="J164" s="10">
        <f t="shared" si="28"/>
        <v>5.9321986635964343E-8</v>
      </c>
      <c r="K164" s="2"/>
      <c r="L164" s="6">
        <f t="shared" si="29"/>
        <v>187.959744</v>
      </c>
      <c r="M164" s="6">
        <f t="shared" si="30"/>
        <v>200.42483827271045</v>
      </c>
      <c r="N164" s="6">
        <f t="shared" si="31"/>
        <v>199.40342355038163</v>
      </c>
      <c r="O164" s="6">
        <f t="shared" si="32"/>
        <v>197.79475456227877</v>
      </c>
      <c r="P164" s="2"/>
    </row>
    <row r="165" spans="1:16" x14ac:dyDescent="0.25">
      <c r="A165">
        <v>594173</v>
      </c>
      <c r="B165" s="11">
        <v>4.9665500000000002E-8</v>
      </c>
      <c r="C165" s="11">
        <v>2.7939600000000001E-9</v>
      </c>
      <c r="D165" s="11">
        <f t="shared" si="33"/>
        <v>0.94645059010040522</v>
      </c>
      <c r="E165" s="11">
        <f t="shared" si="25"/>
        <v>0.83169165647130261</v>
      </c>
      <c r="F165" s="12">
        <f t="shared" si="23"/>
        <v>9.9028833333333335</v>
      </c>
      <c r="G165" s="10">
        <f t="shared" si="24"/>
        <v>4.9665500000000002E-8</v>
      </c>
      <c r="H165" s="10">
        <f t="shared" si="26"/>
        <v>17.77602399461696</v>
      </c>
      <c r="I165" s="10">
        <f t="shared" si="27"/>
        <v>5.2475533873069046E-8</v>
      </c>
      <c r="J165" s="10">
        <f t="shared" si="28"/>
        <v>5.9716241726796386E-8</v>
      </c>
      <c r="K165" s="2"/>
      <c r="L165" s="6">
        <f t="shared" si="29"/>
        <v>187.85324500000002</v>
      </c>
      <c r="M165" s="6">
        <f t="shared" si="30"/>
        <v>201.7568723389025</v>
      </c>
      <c r="N165" s="6">
        <f t="shared" si="31"/>
        <v>200.75458210496927</v>
      </c>
      <c r="O165" s="6">
        <f t="shared" si="32"/>
        <v>199.13522187110772</v>
      </c>
      <c r="P165" s="2"/>
    </row>
    <row r="166" spans="1:16" x14ac:dyDescent="0.25">
      <c r="A166">
        <v>597885</v>
      </c>
      <c r="B166" s="11">
        <v>4.96936E-8</v>
      </c>
      <c r="C166" s="11">
        <v>2.8058600000000001E-9</v>
      </c>
      <c r="D166" s="11">
        <f t="shared" si="33"/>
        <v>0.95048170078996219</v>
      </c>
      <c r="E166" s="11">
        <f t="shared" si="25"/>
        <v>0.83523398732500442</v>
      </c>
      <c r="F166" s="12">
        <f t="shared" si="23"/>
        <v>9.9647500000000004</v>
      </c>
      <c r="G166" s="10">
        <f t="shared" si="24"/>
        <v>4.96936E-8</v>
      </c>
      <c r="H166" s="10">
        <f t="shared" si="26"/>
        <v>17.710648428645761</v>
      </c>
      <c r="I166" s="10">
        <f t="shared" si="27"/>
        <v>5.2282542587299438E-8</v>
      </c>
      <c r="J166" s="10">
        <f t="shared" si="28"/>
        <v>5.9496621011739713E-8</v>
      </c>
      <c r="K166" s="2"/>
      <c r="L166" s="6">
        <f t="shared" si="29"/>
        <v>187.959744</v>
      </c>
      <c r="M166" s="6">
        <f t="shared" si="30"/>
        <v>201.01485966512939</v>
      </c>
      <c r="N166" s="6">
        <f t="shared" si="31"/>
        <v>200.0019160904678</v>
      </c>
      <c r="O166" s="6">
        <f t="shared" si="32"/>
        <v>198.38851143991502</v>
      </c>
      <c r="P166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2025-09-15T10:33:43Z</dcterms:modified>
</cp:coreProperties>
</file>